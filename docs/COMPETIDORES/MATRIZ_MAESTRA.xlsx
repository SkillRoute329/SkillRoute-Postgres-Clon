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sumen Ejecutivo" sheetId="1" state="visible" r:id="rId3"/>
    <sheet name="2. Matriz Funciones" sheetId="2" state="visible" r:id="rId4"/>
    <sheet name="3. Estándares Internacionales" sheetId="3" state="visible" r:id="rId5"/>
    <sheet name="4. Gap Analysis Priorizado" sheetId="4" state="visible" r:id="rId6"/>
    <sheet name="5. Diferenciadores SkillRoute" sheetId="5" state="visible" r:id="rId7"/>
    <sheet name="6. Riesgos Estratégic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<sst xmlns="http://schemas.openxmlformats.org/spreadsheetml/2006/main" count="618" uniqueCount="375">
  <si>
    <t xml:space="preserve">SkillRoute vs The World — Matriz Comparativa Maestra</t>
  </si>
  <si>
    <t xml:space="preserve">Análisis competitivo internacional · Generado 2026-04-25 · Estrategia International-Grade</t>
  </si>
  <si>
    <t xml:space="preserve">Tabla 1 · Plataformas analizadas</t>
  </si>
  <si>
    <t xml:space="preserve">Plataforma</t>
  </si>
  <si>
    <t xml:space="preserve">Origen</t>
  </si>
  <si>
    <t xml:space="preserve">Pricing estimado</t>
  </si>
  <si>
    <t xml:space="preserve">Funding / Backing</t>
  </si>
  <si>
    <t xml:space="preserve">Cobertura</t>
  </si>
  <si>
    <t xml:space="preserve">Optibus</t>
  </si>
  <si>
    <t xml:space="preserve">Israel/UK</t>
  </si>
  <si>
    <t xml:space="preserve">$$$$ $30-800K/año</t>
  </si>
  <si>
    <t xml:space="preserve">$140M Series D</t>
  </si>
  <si>
    <t xml:space="preserve">6.000 ciudades, 35 países</t>
  </si>
  <si>
    <t xml:space="preserve">Swiftly</t>
  </si>
  <si>
    <t xml:space="preserve">USA</t>
  </si>
  <si>
    <t xml:space="preserve">$$$ $25-600K/año</t>
  </si>
  <si>
    <t xml:space="preserve">$50M Series C</t>
  </si>
  <si>
    <t xml:space="preserve">136 agencies, 8 países</t>
  </si>
  <si>
    <t xml:space="preserve">Remix</t>
  </si>
  <si>
    <t xml:space="preserve">USA (Via Group)</t>
  </si>
  <si>
    <t xml:space="preserve">$$ $15-200K/año</t>
  </si>
  <si>
    <t xml:space="preserve">Adquirida Via $100M</t>
  </si>
  <si>
    <t xml:space="preserve">340 cities, 22 países</t>
  </si>
  <si>
    <t xml:space="preserve">Trapeze</t>
  </si>
  <si>
    <t xml:space="preserve">Canadá (Modaxo/Constellation)</t>
  </si>
  <si>
    <t xml:space="preserve">$$$$$ $50K-5M/año</t>
  </si>
  <si>
    <t xml:space="preserve">Constellation Software</t>
  </si>
  <si>
    <t xml:space="preserve">Enterprise USA/Canadá + Brasil</t>
  </si>
  <si>
    <t xml:space="preserve">SkillRoute</t>
  </si>
  <si>
    <t xml:space="preserve">Uruguay</t>
  </si>
  <si>
    <t xml:space="preserve">$ tier por buses (a definir)</t>
  </si>
  <si>
    <t xml:space="preserve">Bootstrap</t>
  </si>
  <si>
    <t xml:space="preserve">4 operadores Montevideo</t>
  </si>
  <si>
    <t xml:space="preserve">Tabla 2 · Score consolidado por categoría (suma 0-5 por función)</t>
  </si>
  <si>
    <t xml:space="preserve">Categoría</t>
  </si>
  <si>
    <t xml:space="preserve">SkillRoute hoy</t>
  </si>
  <si>
    <t xml:space="preserve">SkillRoute target</t>
  </si>
  <si>
    <t xml:space="preserve">Planning</t>
  </si>
  <si>
    <t xml:space="preserve">Scheduling</t>
  </si>
  <si>
    <t xml:space="preserve">Real-time</t>
  </si>
  <si>
    <t xml:space="preserve">Analytics</t>
  </si>
  <si>
    <t xml:space="preserve">EAM</t>
  </si>
  <si>
    <t xml:space="preserve">Cross-op ⭐</t>
  </si>
  <si>
    <t xml:space="preserve">Passenger</t>
  </si>
  <si>
    <t xml:space="preserve">Standards</t>
  </si>
  <si>
    <t xml:space="preserve">Comercial</t>
  </si>
  <si>
    <t xml:space="preserve">Regulatorio ⭐</t>
  </si>
  <si>
    <t xml:space="preserve">TOTAL</t>
  </si>
  <si>
    <t xml:space="preserve">INTERPRETACIÓN</t>
  </si>
  <si>
    <t xml:space="preserve">• Score por función: 0=no tiene · 1=básico · 2=funcional · 3=bueno · 4=excelente · 5=mejor del mundo</t>
  </si>
  <si>
    <t xml:space="preserve">• Categorías marcadas ⭐ son nuestros diferenciadores estructurales (cross-op, regulatorio).</t>
  </si>
  <si>
    <t xml:space="preserve">• 'SkillRoute hoy' = estado real abril 2026 · 'SkillRoute target' = post roadmap de cierre de gaps.</t>
  </si>
  <si>
    <t xml:space="preserve">• Cuando el target supera al líder en su propia categoría = ventaja competitiva proyectada.</t>
  </si>
  <si>
    <t xml:space="preserve">• Cuando el hoy ya supera a los 4 líderes (cross-op, regulatorio) = moat estructural, defender.</t>
  </si>
  <si>
    <t xml:space="preserve">Función</t>
  </si>
  <si>
    <t xml:space="preserve">Prioridad</t>
  </si>
  <si>
    <t xml:space="preserve">Esfuerzo</t>
  </si>
  <si>
    <t xml:space="preserve">Notas / Acción</t>
  </si>
  <si>
    <t xml:space="preserve">Network editor visual (drag-drop líneas/paradas)</t>
  </si>
  <si>
    <t xml:space="preserve">Alta</t>
  </si>
  <si>
    <t xml:space="preserve">Alto</t>
  </si>
  <si>
    <t xml:space="preserve">Remix es referencia. Crear NetworkEditor.tsx</t>
  </si>
  <si>
    <t xml:space="preserve">Demographic data overlay por barrio</t>
  </si>
  <si>
    <t xml:space="preserve">Medio</t>
  </si>
  <si>
    <t xml:space="preserve">Integrar INE Uruguay + IMM datos abiertos</t>
  </si>
  <si>
    <t xml:space="preserve">Equity analysis (Title VI USA / Latam)</t>
  </si>
  <si>
    <t xml:space="preserve">Diferenciador estratégico Latam. Adaptado a Ley 18.331</t>
  </si>
  <si>
    <t xml:space="preserve">Visualización impacto financiero al editar</t>
  </si>
  <si>
    <t xml:space="preserve">Media</t>
  </si>
  <si>
    <t xml:space="preserve">Conectar forecastService al editor</t>
  </si>
  <si>
    <t xml:space="preserve">GTFS import/edit/export visual</t>
  </si>
  <si>
    <t xml:space="preserve">Mejorar editor GTFS</t>
  </si>
  <si>
    <t xml:space="preserve">Street design (BRT, ciclovías)</t>
  </si>
  <si>
    <t xml:space="preserve">Baja</t>
  </si>
  <si>
    <t xml:space="preserve">Fuera de scope SkillRoute</t>
  </si>
  <si>
    <t xml:space="preserve">Schedule optimization AI/ML</t>
  </si>
  <si>
    <t xml:space="preserve">Integrar OR-Tools (Google) o algoritmos clásicos</t>
  </si>
  <si>
    <t xml:space="preserve">Rostering / driver rotation</t>
  </si>
  <si>
    <t xml:space="preserve">Pulir RotationMatrix existente</t>
  </si>
  <si>
    <t xml:space="preserve">Driver Relief Scheduling</t>
  </si>
  <si>
    <t xml:space="preserve">Mejorar</t>
  </si>
  <si>
    <t xml:space="preserve">GenAI declarativa (Preference Designer)</t>
  </si>
  <si>
    <t xml:space="preserve">Ventaja: español nativo. Optibus está en inglés</t>
  </si>
  <si>
    <t xml:space="preserve">Real-time AVL + dispatch</t>
  </si>
  <si>
    <t xml:space="preserve">Bajo</t>
  </si>
  <si>
    <t xml:space="preserve">LiveMap + FleetMonitor cubren bien</t>
  </si>
  <si>
    <t xml:space="preserve">Live map / Map Hub unificado</t>
  </si>
  <si>
    <t xml:space="preserve">Unificar LiveMap + CorridorMap + FleetMonitor</t>
  </si>
  <si>
    <t xml:space="preserve">Predictions ETA accurate (ML)</t>
  </si>
  <si>
    <t xml:space="preserve">Modelo ML supervisado sobre nuestros GPS points</t>
  </si>
  <si>
    <t xml:space="preserve">Headway Insights (bunching/gapping)</t>
  </si>
  <si>
    <t xml:space="preserve">Crear HeadwayInsights.tsx con thresholds</t>
  </si>
  <si>
    <t xml:space="preserve">OTP Dashboard</t>
  </si>
  <si>
    <t xml:space="preserve">Pulir thresholds existentes</t>
  </si>
  <si>
    <t xml:space="preserve">Run Times analytics</t>
  </si>
  <si>
    <t xml:space="preserve">Comparar real vs schedule</t>
  </si>
  <si>
    <t xml:space="preserve">Stop dwell times analytics</t>
  </si>
  <si>
    <t xml:space="preserve">Métrica nueva en pipeline vehicle_events</t>
  </si>
  <si>
    <t xml:space="preserve">Service Adjustments live</t>
  </si>
  <si>
    <t xml:space="preserve">Ajustes en vivo + sync GTFS-RT</t>
  </si>
  <si>
    <t xml:space="preserve">GPS Playback histórico</t>
  </si>
  <si>
    <t xml:space="preserve">Vista timeline replay - quick win</t>
  </si>
  <si>
    <t xml:space="preserve">Big data engine multi-fuente GPS</t>
  </si>
  <si>
    <t xml:space="preserve">Agregar crowdsourced GPS desde driver app</t>
  </si>
  <si>
    <t xml:space="preserve">Auto-assignment GPS a viajes/blocks</t>
  </si>
  <si>
    <t xml:space="preserve">Mejorar matching algorithm</t>
  </si>
  <si>
    <t xml:space="preserve">Bottleneck detection automático</t>
  </si>
  <si>
    <t xml:space="preserve">Diferenciador con cross-op</t>
  </si>
  <si>
    <t xml:space="preserve">GTFS-RT Service Alerts auto-publish</t>
  </si>
  <si>
    <t xml:space="preserve">Cerrar loop alerta → GTFS-RT</t>
  </si>
  <si>
    <t xml:space="preserve">GTFS-RT publishing quality (V2)</t>
  </si>
  <si>
    <t xml:space="preserve">Validar contra Google validator</t>
  </si>
  <si>
    <t xml:space="preserve">Asset lifecycle / work orders</t>
  </si>
  <si>
    <t xml:space="preserve">Muy alto</t>
  </si>
  <si>
    <t xml:space="preserve">Schema EAM completo</t>
  </si>
  <si>
    <t xml:space="preserve">Predictive maintenance ML</t>
  </si>
  <si>
    <t xml:space="preserve">ML básico sobre histórico fallas</t>
  </si>
  <si>
    <t xml:space="preserve">Asset history reliability reports</t>
  </si>
  <si>
    <t xml:space="preserve">Schema histórico mantenimiento</t>
  </si>
  <si>
    <t xml:space="preserve">Inspection / Compliance reports</t>
  </si>
  <si>
    <t xml:space="preserve">Export estructurado para reguladores</t>
  </si>
  <si>
    <t xml:space="preserve">Mobile mecánicos (rol mecánico APK)</t>
  </si>
  <si>
    <t xml:space="preserve">Extender APK Capacitor a rol mecánico</t>
  </si>
  <si>
    <t xml:space="preserve">Cross-op DRO live (TCRP 195)</t>
  </si>
  <si>
    <t xml:space="preserve">Crítica</t>
  </si>
  <si>
    <t xml:space="preserve">—</t>
  </si>
  <si>
    <t xml:space="preserve">✅ Diferenciador único — DEFENDER</t>
  </si>
  <si>
    <t xml:space="preserve">Cross-op HRR live</t>
  </si>
  <si>
    <t xml:space="preserve">✅ Diferenciador único — PROFUNDIZAR</t>
  </si>
  <si>
    <t xml:space="preserve">Cross-op Coverage analytics</t>
  </si>
  <si>
    <t xml:space="preserve">✅ Diferenciador único</t>
  </si>
  <si>
    <t xml:space="preserve">Cross-op Market Penetration por corredor</t>
  </si>
  <si>
    <t xml:space="preserve">Multi-tenancy nativa (todos operadores)</t>
  </si>
  <si>
    <t xml:space="preserve">✅ Arquitectura nativa</t>
  </si>
  <si>
    <t xml:space="preserve">Passenger info app/web pública</t>
  </si>
  <si>
    <t xml:space="preserve">Integrar con Moovit en lugar de competir</t>
  </si>
  <si>
    <t xml:space="preserve">Mobility on Demand / paratransit</t>
  </si>
  <si>
    <t xml:space="preserve">Fuera scope inicial. Roadmap regulatorio</t>
  </si>
  <si>
    <t xml:space="preserve">Driver app nativa</t>
  </si>
  <si>
    <t xml:space="preserve">APK existe, agregar shift exchange + pay</t>
  </si>
  <si>
    <t xml:space="preserve">GTFS-Static (Google)</t>
  </si>
  <si>
    <t xml:space="preserve">Validar contra spec V2 oficial</t>
  </si>
  <si>
    <t xml:space="preserve">GTFS-RT V2 (VehiclePositions/TripUpdates/Alerts)</t>
  </si>
  <si>
    <t xml:space="preserve">Validar TripUpdates con delay real</t>
  </si>
  <si>
    <t xml:space="preserve">NeTEx (CEN/Europa)</t>
  </si>
  <si>
    <t xml:space="preserve">Mercado europeo. No prioridad Latam</t>
  </si>
  <si>
    <t xml:space="preserve">SIRI v2 (CEN/Europa)</t>
  </si>
  <si>
    <t xml:space="preserve">Idem</t>
  </si>
  <si>
    <t xml:space="preserve">ISO 27001 / SOC 2 público</t>
  </si>
  <si>
    <t xml:space="preserve">Compliance statement primero, certificación después</t>
  </si>
  <si>
    <t xml:space="preserve">WCAG 2.2 AA accesibilidad</t>
  </si>
  <si>
    <t xml:space="preserve">Lighthouse + axe + auditoría formal</t>
  </si>
  <si>
    <t xml:space="preserve">Pricing público transparente</t>
  </si>
  <si>
    <t xml:space="preserve">Tier por buses, publicado</t>
  </si>
  <si>
    <t xml:space="preserve">Onboarding speed (semanas vs meses)</t>
  </si>
  <si>
    <t xml:space="preserve">Documentar proceso 2-4 semanas</t>
  </si>
  <si>
    <t xml:space="preserve">i18n español nativo</t>
  </si>
  <si>
    <t xml:space="preserve">Ya en español. Agregar inglés/portugués después</t>
  </si>
  <si>
    <t xml:space="preserve">Open APIs documentadas (OpenAPI)</t>
  </si>
  <si>
    <t xml:space="preserve">Documentar intelligenceApi con Swagger</t>
  </si>
  <si>
    <t xml:space="preserve">Modern UX cloud-native (React-class)</t>
  </si>
  <si>
    <t xml:space="preserve">✅ Ventaja vs Trapeze legacy</t>
  </si>
  <si>
    <t xml:space="preserve">Dossier regulatorio automatizado</t>
  </si>
  <si>
    <t xml:space="preserve">✅ Diferenciador para IMM/STM/CAF</t>
  </si>
  <si>
    <t xml:space="preserve">Análisis equidad territorial Latam (Ley 18.331)</t>
  </si>
  <si>
    <t xml:space="preserve">✅ Inspirado en Title VI Remix, adaptado Latam</t>
  </si>
  <si>
    <t xml:space="preserve">Forecasting ingresos cross-op</t>
  </si>
  <si>
    <t xml:space="preserve">✅ Diferenciador analítico</t>
  </si>
  <si>
    <t xml:space="preserve">Mapeo de cumplimiento contra estándares internacionales</t>
  </si>
  <si>
    <t xml:space="preserve">Documenta evidencia y gap por estándar aplicable a SkillRoute</t>
  </si>
  <si>
    <t xml:space="preserve">Estándar</t>
  </si>
  <si>
    <t xml:space="preserve">Aplicable a SkillRoute</t>
  </si>
  <si>
    <t xml:space="preserve">Estado actual</t>
  </si>
  <si>
    <t xml:space="preserve">Evidencia disponible</t>
  </si>
  <si>
    <t xml:space="preserve">Gap a cerrar</t>
  </si>
  <si>
    <t xml:space="preserve">GTFS-Static</t>
  </si>
  <si>
    <t xml:space="preserve">Datos / Interoperabilidad</t>
  </si>
  <si>
    <t xml:space="preserve">Sí — fuente única de horarios y rutas estáticos</t>
  </si>
  <si>
    <t xml:space="preserve">Implementado parcial</t>
  </si>
  <si>
    <t xml:space="preserve">functions/src/gtfsStatic.ts existente</t>
  </si>
  <si>
    <t xml:space="preserve">Validar contra spec V2 oficial Google</t>
  </si>
  <si>
    <t xml:space="preserve">GTFS-Realtime V2</t>
  </si>
  <si>
    <t xml:space="preserve">Sí — VehiclePositions + TripUpdates + Alerts</t>
  </si>
  <si>
    <t xml:space="preserve">Implementado</t>
  </si>
  <si>
    <t xml:space="preserve">gtfsRealtime.ts con delay real</t>
  </si>
  <si>
    <t xml:space="preserve">Auto-publish Service Alerts desde operations</t>
  </si>
  <si>
    <t xml:space="preserve">NeTEx</t>
  </si>
  <si>
    <t xml:space="preserve">Datos / Europa</t>
  </si>
  <si>
    <t xml:space="preserve">Parcial — solo si entramos a UE</t>
  </si>
  <si>
    <t xml:space="preserve">netexEndpoint.ts mínimo</t>
  </si>
  <si>
    <t xml:space="preserve">Profundizar para mercado UE futuro</t>
  </si>
  <si>
    <t xml:space="preserve">SIRI v2</t>
  </si>
  <si>
    <t xml:space="preserve">Parcial — complemento NeTEx</t>
  </si>
  <si>
    <t xml:space="preserve">siriRealtime.ts mínimo</t>
  </si>
  <si>
    <t xml:space="preserve">Idem NeTEx</t>
  </si>
  <si>
    <t xml:space="preserve">TCRP 195 (DRO/Headway)</t>
  </si>
  <si>
    <t xml:space="preserve">Métricas / TRB USA</t>
  </si>
  <si>
    <t xml:space="preserve">Sí — base académica de ShadowRadar</t>
  </si>
  <si>
    <t xml:space="preserve">Implementado y EXTENDIDO cross-op</t>
  </si>
  <si>
    <t xml:space="preserve">ShadowRadar DRO+HRR live cross-op</t>
  </si>
  <si>
    <t xml:space="preserve">Documentar publicamente la implementación</t>
  </si>
  <si>
    <t xml:space="preserve">TCRP 100 (BRT)</t>
  </si>
  <si>
    <t xml:space="preserve">Solo si hay BRT en clientes</t>
  </si>
  <si>
    <t xml:space="preserve">No aplicable hoy</t>
  </si>
  <si>
    <t xml:space="preserve">Roadmap futuro si CUTCSA implementa BRT</t>
  </si>
  <si>
    <t xml:space="preserve">UITP best practices</t>
  </si>
  <si>
    <t xml:space="preserve">KPIs / Internacional</t>
  </si>
  <si>
    <t xml:space="preserve">Sí — KPIs canónicos</t>
  </si>
  <si>
    <t xml:space="preserve">OTPDashboard, KPI snapshots</t>
  </si>
  <si>
    <t xml:space="preserve">Auditoría formal contra UITP framework</t>
  </si>
  <si>
    <t xml:space="preserve">EN 13816</t>
  </si>
  <si>
    <t xml:space="preserve">Calidad / Europa</t>
  </si>
  <si>
    <t xml:space="preserve">Parcial — calidad de servicio</t>
  </si>
  <si>
    <t xml:space="preserve">No implementado</t>
  </si>
  <si>
    <t xml:space="preserve">Roadmap si entramos a UE</t>
  </si>
  <si>
    <t xml:space="preserve">ISO/IEC 25010</t>
  </si>
  <si>
    <t xml:space="preserve">Software Quality</t>
  </si>
  <si>
    <t xml:space="preserve">Sí — quality model 8 ejes</t>
  </si>
  <si>
    <t xml:space="preserve">No auditado formalmente</t>
  </si>
  <si>
    <t xml:space="preserve">Tests Vitest + Playwright + integrity script</t>
  </si>
  <si>
    <t xml:space="preserve">Auditoría formal con consultora</t>
  </si>
  <si>
    <t xml:space="preserve">ISO/IEC 27001</t>
  </si>
  <si>
    <t xml:space="preserve">Information Security</t>
  </si>
  <si>
    <t xml:space="preserve">Sí — clientes enterprise lo demandan</t>
  </si>
  <si>
    <t xml:space="preserve">No certificado</t>
  </si>
  <si>
    <t xml:space="preserve">Firestore RBAC + JWT + audit log</t>
  </si>
  <si>
    <t xml:space="preserve">Compliance statement primero, certificación 2027</t>
  </si>
  <si>
    <t xml:space="preserve">SOC 2 Type II</t>
  </si>
  <si>
    <t xml:space="preserve">Security/Availability/Confidentiality</t>
  </si>
  <si>
    <t xml:space="preserve">Sí — alternativa a ISO 27001 para USA</t>
  </si>
  <si>
    <t xml:space="preserve">Idem ISO 27001</t>
  </si>
  <si>
    <t xml:space="preserve">Decisión estratégica: ISO 27001 o SOC 2 (no ambas)</t>
  </si>
  <si>
    <t xml:space="preserve">WCAG 2.2 AA</t>
  </si>
  <si>
    <t xml:space="preserve">Accesibilidad / Web</t>
  </si>
  <si>
    <t xml:space="preserve">Sí — clientes públicos (IMM, STM)</t>
  </si>
  <si>
    <t xml:space="preserve">Tailwind con buenos defaults</t>
  </si>
  <si>
    <t xml:space="preserve">Core Web Vitals</t>
  </si>
  <si>
    <t xml:space="preserve">Performance / Google</t>
  </si>
  <si>
    <t xml:space="preserve">Sí — afecta UX y SEO</t>
  </si>
  <si>
    <t xml:space="preserve">Parcial — no medido sistemáticamente</t>
  </si>
  <si>
    <t xml:space="preserve">Vite build optimizado</t>
  </si>
  <si>
    <t xml:space="preserve">Implementar monitoring continuo</t>
  </si>
  <si>
    <t xml:space="preserve">GDPR</t>
  </si>
  <si>
    <t xml:space="preserve">Privacidad / UE</t>
  </si>
  <si>
    <t xml:space="preserve">Solo si entramos a UE</t>
  </si>
  <si>
    <t xml:space="preserve">Roadmap futuro</t>
  </si>
  <si>
    <t xml:space="preserve">LGPD</t>
  </si>
  <si>
    <t xml:space="preserve">Privacidad / Brasil</t>
  </si>
  <si>
    <t xml:space="preserve">Sí — si entramos a Brasil</t>
  </si>
  <si>
    <t xml:space="preserve">Roadmap regional</t>
  </si>
  <si>
    <t xml:space="preserve">Ley 18.331 Uruguay</t>
  </si>
  <si>
    <t xml:space="preserve">Privacidad / Uruguay</t>
  </si>
  <si>
    <t xml:space="preserve">SÍ — clientes locales</t>
  </si>
  <si>
    <t xml:space="preserve">Firestore RBAC + audit log</t>
  </si>
  <si>
    <t xml:space="preserve">Auditoría formal local</t>
  </si>
  <si>
    <t xml:space="preserve">HIPAA</t>
  </si>
  <si>
    <t xml:space="preserve">Salud / USA</t>
  </si>
  <si>
    <t xml:space="preserve">No aplicable</t>
  </si>
  <si>
    <t xml:space="preserve">Gap Analysis · ranking por (Impacto × Diferencial) ÷ Esfuerzo</t>
  </si>
  <si>
    <t xml:space="preserve">Cierre priorizado de gaps detectados — base para roadmap Fase 3</t>
  </si>
  <si>
    <t xml:space="preserve">#</t>
  </si>
  <si>
    <t xml:space="preserve">Impacto comercial (1-5)</t>
  </si>
  <si>
    <t xml:space="preserve">Diferencial competitivo (1-5)</t>
  </si>
  <si>
    <t xml:space="preserve">Esfuerzo (1-5)</t>
  </si>
  <si>
    <t xml:space="preserve">Score = (I×D)÷E</t>
  </si>
  <si>
    <t xml:space="preserve">HeadwayInsights.tsx (bunching/gapping single-op + HRR cross-op)</t>
  </si>
  <si>
    <t xml:space="preserve">GTFS-RT Service Alerts auto-publish desde operations</t>
  </si>
  <si>
    <t xml:space="preserve">Pricing público con tier por buses</t>
  </si>
  <si>
    <t xml:space="preserve">Documentar onboarding 2-4 semanas con evidencia</t>
  </si>
  <si>
    <t xml:space="preserve">Análisis Equidad Territorial Latam (engine)</t>
  </si>
  <si>
    <t xml:space="preserve">Predictions ETA modelo ML básico</t>
  </si>
  <si>
    <t xml:space="preserve">NetworkEditor.tsx visual edit de red</t>
  </si>
  <si>
    <t xml:space="preserve">Schema EAM completo (work orders, lifecycle, inventory)</t>
  </si>
  <si>
    <t xml:space="preserve">Schedule optimization con OR-Tools</t>
  </si>
  <si>
    <t xml:space="preserve">GenAI Preference Designer en español</t>
  </si>
  <si>
    <t xml:space="preserve">Demographic data overlay (INE Uruguay)</t>
  </si>
  <si>
    <t xml:space="preserve">Compliance statement ISO 27001 público</t>
  </si>
  <si>
    <t xml:space="preserve">Auditoría WCAG 2.2 AA + Lighthouse continuo</t>
  </si>
  <si>
    <t xml:space="preserve">Map Hub unificado (LiveMap + Corridor + Fleet)</t>
  </si>
  <si>
    <t xml:space="preserve">GPS Playback histórico timeline</t>
  </si>
  <si>
    <t xml:space="preserve">Run Times + Stop dwell times pipeline</t>
  </si>
  <si>
    <t xml:space="preserve">Asset history + reliability reports</t>
  </si>
  <si>
    <t xml:space="preserve">Predictive maintenance ML básico</t>
  </si>
  <si>
    <t xml:space="preserve">Compliance reporting export estructurado para reguladores</t>
  </si>
  <si>
    <t xml:space="preserve">Open APIs documentadas con OpenAPI/Swagger</t>
  </si>
  <si>
    <t xml:space="preserve">APK rol mecánico (extender Capacitor)</t>
  </si>
  <si>
    <t xml:space="preserve">Big data engine multi-fuente GPS (crowdsourced driver app)</t>
  </si>
  <si>
    <t xml:space="preserve">Auto-assignment GPS mejorado</t>
  </si>
  <si>
    <t xml:space="preserve">Bottleneck detection automático en corredores</t>
  </si>
  <si>
    <t xml:space="preserve">Service Adjustments live + sync GTFS-RT</t>
  </si>
  <si>
    <t xml:space="preserve">Driver app shift exchange + pay breakdown</t>
  </si>
  <si>
    <t xml:space="preserve">i18n inglés + portugués (después de Latam)</t>
  </si>
  <si>
    <t xml:space="preserve">Patente método DRO/HRR cross-op</t>
  </si>
  <si>
    <t xml:space="preserve">Inteligencia Cittati (Brasil) — investigación comercial</t>
  </si>
  <si>
    <t xml:space="preserve">ℹ️ Para ordenar por score descendente: seleccionar tabla y Datos → Ordenar → Columna G descendente.</t>
  </si>
  <si>
    <t xml:space="preserve">Diferenciadores estructurales únicos de SkillRoute</t>
  </si>
  <si>
    <t xml:space="preserve">Capacidades que NINGÚN competidor analizado ofrece — defender y profundizar</t>
  </si>
  <si>
    <t xml:space="preserve">Diferenciador</t>
  </si>
  <si>
    <t xml:space="preserve">Por qué nadie más lo hace</t>
  </si>
  <si>
    <t xml:space="preserve">Score actual SkillRoute</t>
  </si>
  <si>
    <t xml:space="preserve">Acción para profundizar</t>
  </si>
  <si>
    <t xml:space="preserve">Riesgo de ser copiado</t>
  </si>
  <si>
    <t xml:space="preserve">DRO live cross-operador (TCRP 195 implementado en tiempo real con 4 operadores cruzados)</t>
  </si>
  <si>
    <t xml:space="preserve">Optibus/Swiftly/Remix/Trapeze son single-tenant. Cada uno vende a UN operador. Mezclar datos de múltiples operadores requeriría rehacer su modelo de negocio.</t>
  </si>
  <si>
    <t xml:space="preserve">Documentar metodología pública. Considerar patente del método.</t>
  </si>
  <si>
    <t xml:space="preserve">Bajo — requeriría que un competidor rehaga su modelo de negocio. Tiempo estimado: 2-3 años.</t>
  </si>
  <si>
    <t xml:space="preserve">HRR live cross-op (Headway-to-Rival Ratio)</t>
  </si>
  <si>
    <t xml:space="preserve">Métrica académica TCRP que ningún competidor implementa en producto comercial. Requiere datos cross-op.</t>
  </si>
  <si>
    <t xml:space="preserve">Profundizar UI dedicada. Crear módulo HeadwayInsights con HRR como vista premium.</t>
  </si>
  <si>
    <t xml:space="preserve">Bajo — misma razón que DRO.</t>
  </si>
  <si>
    <t xml:space="preserve">Cobertura cross-op real-time (cumplimiento OTP de 4 operadores simultáneos sobre mismos corredores)</t>
  </si>
  <si>
    <t xml:space="preserve">Requiere datos cross-op. No replicable single-tenant.</t>
  </si>
  <si>
    <t xml:space="preserve">Dashboard ejecutivo de Cobertura con vista para reguladores.</t>
  </si>
  <si>
    <t xml:space="preserve">Bajo.</t>
  </si>
  <si>
    <t xml:space="preserve">Análisis de Penetración por corredor (market share por línea × agencia, snapshot diario)</t>
  </si>
  <si>
    <t xml:space="preserve">Optibus tiene algo similar pero solo para el operador propio. Nadie hace cross-op.</t>
  </si>
  <si>
    <t xml:space="preserve">Cron diario ya corre. Mejorar UI histórica + comparativa.</t>
  </si>
  <si>
    <t xml:space="preserve">Multi-tenancy nativa de operadores en una plataforma</t>
  </si>
  <si>
    <t xml:space="preserve">Los 4 líderes son single-tenant por diseño. Cada cliente tiene sus datos en silo. SkillRoute nació cross-op.</t>
  </si>
  <si>
    <t xml:space="preserve">Defender arquitectura. Cualquier feature nueva debe respetar multi-tenancy.</t>
  </si>
  <si>
    <t xml:space="preserve">Bajo — decisión arquitectónica de origen.</t>
  </si>
  <si>
    <t xml:space="preserve">Dossier regulatorio automatizado (output preparado para autoridad reguladora con un click)</t>
  </si>
  <si>
    <t xml:space="preserve">Trapeze tiene compliance reports pero no automatizado. Optibus/Swiftly/Remix venden a las agencies, no a reguladores.</t>
  </si>
  <si>
    <t xml:space="preserve">Profundizar formato + integración con IMM/STM/CAF.</t>
  </si>
  <si>
    <t xml:space="preserve">Medio — Trapeze podría adaptar.</t>
  </si>
  <si>
    <t xml:space="preserve">Análisis Equidad Territorial Latam (inspirado en Title VI Remix, adaptado a Ley 18.331 Uruguay)</t>
  </si>
  <si>
    <t xml:space="preserve">Remix Title VI es US-specific. Nadie lo adaptó a Latam.</t>
  </si>
  <si>
    <t xml:space="preserve">Crear engine. Integrar datos INE Uruguay. Roadmap alto.</t>
  </si>
  <si>
    <t xml:space="preserve">Medio — Remix podría adaptar para Latam.</t>
  </si>
  <si>
    <t xml:space="preserve">Idioma español nativo + soporte regional Latam</t>
  </si>
  <si>
    <t xml:space="preserve">Optibus/Swiftly/Remix/Trapeze son English-first. Cittati (Trapeze Brasil) es portugués.</t>
  </si>
  <si>
    <t xml:space="preserve">Mantener todo en español. Agregar inglés/portugués después.</t>
  </si>
  <si>
    <t xml:space="preserve">Medio — Cittati ya está en Brasil.</t>
  </si>
  <si>
    <t xml:space="preserve">Pricing accesible para operadores 50-500 buses</t>
  </si>
  <si>
    <t xml:space="preserve">Los 4 líderes excluyen este segmento por pricing enterprise opaco.</t>
  </si>
  <si>
    <t xml:space="preserve">Definir tiers públicos. Publicar en página comercial.</t>
  </si>
  <si>
    <t xml:space="preserve">Bajo — los líderes no van a bajar pricing por nosotros.</t>
  </si>
  <si>
    <t xml:space="preserve">Onboarding rápido (2-4 semanas vs 6-18 meses)</t>
  </si>
  <si>
    <t xml:space="preserve">Trapeze 6-18 meses, Optibus similar, Swiftly 1-3 meses, Remix días-semanas.</t>
  </si>
  <si>
    <t xml:space="preserve">Documentar proceso con evidencia. Caso UCOT como referencia.</t>
  </si>
  <si>
    <t xml:space="preserve">Medio — Remix ya tiene onboarding rápido, pero foco diferente.</t>
  </si>
  <si>
    <t xml:space="preserve">Forecasting de ingresos cross-op</t>
  </si>
  <si>
    <t xml:space="preserve">Modelos forecast existentes son single-operator.</t>
  </si>
  <si>
    <t xml:space="preserve">Profundizar forecastService con cross-op.</t>
  </si>
  <si>
    <t xml:space="preserve">Medio.</t>
  </si>
  <si>
    <t xml:space="preserve">Riesgos estratégicos identificados en el análisis competitivo</t>
  </si>
  <si>
    <t xml:space="preserve">Riesgo</t>
  </si>
  <si>
    <t xml:space="preserve">Probabilidad</t>
  </si>
  <si>
    <t xml:space="preserve">Impacto</t>
  </si>
  <si>
    <t xml:space="preserve">Mitigación</t>
  </si>
  <si>
    <t xml:space="preserve">Modaxo/Constellation Software penetra Latam vía Cittati (Brasil) y llega a CUTCSA antes que nosotros</t>
  </si>
  <si>
    <t xml:space="preserve">Velocidad. Cerrar relación profunda con CUTCSA + IMM antes de exposición pública. Documentar diferenciadores cross-op antes de que Modaxo los vea.</t>
  </si>
  <si>
    <t xml:space="preserve">Optibus lanza 'Optibus Lite' con pricing agresivo para Latam (tienen $140M de funding)</t>
  </si>
  <si>
    <t xml:space="preserve">Construir el moat cross-op rápido. Patentar métodos clave si es posible. Asegurar onboarding super rápido (irreplicable).</t>
  </si>
  <si>
    <t xml:space="preserve">Swiftly se expande a Latam con piloto en agencia grande (Bogotá, Buenos Aires, Santiago, Lima)</t>
  </si>
  <si>
    <t xml:space="preserve">Penetrar Latam con velocidad. Construir relación con UITP-LATAM para visibilidad institucional.</t>
  </si>
  <si>
    <t xml:space="preserve">Constellation Software intenta adquirir SkillRoute (modelo agregador serial)</t>
  </si>
  <si>
    <t xml:space="preserve">Media (si crecemos)</t>
  </si>
  <si>
    <t xml:space="preserve">Variable</t>
  </si>
  <si>
    <t xml:space="preserve">Decisión estratégica del fundador: ¿abierto a M&amp;A o crecer independiente? Definir tesis. Considerar protección IP.</t>
  </si>
  <si>
    <t xml:space="preserve">Remix + Via TransitTech entran a Latam con suite end-to-end</t>
  </si>
  <si>
    <t xml:space="preserve">Diferenciar en cross-op. Latam tiene necesidades regulatorias distintas a USA.</t>
  </si>
  <si>
    <t xml:space="preserve">Cittati (Brasil) lanza herramientas tipo SkillRoute desde dentro</t>
  </si>
  <si>
    <t xml:space="preserve">Media (ya están en mercado)</t>
  </si>
  <si>
    <t xml:space="preserve">Investigar Cittati exhaustivamente. Identificar gaps que ellos no cubren. Penetrar Uruguay/Argentina antes de que se expandan.</t>
  </si>
  <si>
    <t xml:space="preserve">Operador grande (CUTCSA o IMM) decide construir solución in-house</t>
  </si>
  <si>
    <t xml:space="preserve">Baja-Media</t>
  </si>
  <si>
    <t xml:space="preserve">Demostrar TCO claramente menor que in-house. Documentar mantenimiento y evolución como costos reales que cualquier in-house enfrenta.</t>
  </si>
  <si>
    <t xml:space="preserve">GTFS-RT V3 cambia estándares y nos obliga a refactor</t>
  </si>
  <si>
    <t xml:space="preserve">Mantener implementación cerca de spec. Participar en discusiones de Google.</t>
  </si>
  <si>
    <t xml:space="preserve">Cambios regulatorios STM/IMM cambian KPIs requeridos</t>
  </si>
  <si>
    <t xml:space="preserve">Arquitectura modular permite adaptarse. Mantener relación cercana con regulador.</t>
  </si>
  <si>
    <t xml:space="preserve">Falla de seguridad pública (data breach) destruye credibilidad</t>
  </si>
  <si>
    <t xml:space="preserve">Crítico</t>
  </si>
  <si>
    <t xml:space="preserve">Compliance ISO 27001 / SOC 2 prioritario. Auditorías periódicas. Bug bounty program.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</si>
</sst>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3A8A"/>
      <name val="Arial"/>
      <family val="0"/>
      <charset val="1"/>
    </font>
    <font>
      <i val="true"/>
      <sz val="12"/>
      <color rgb="FF475569"/>
      <name val="Arial"/>
      <family val="0"/>
      <charset val="1"/>
    </font>
    <font>
      <b val="true"/>
      <sz val="12"/>
      <color rgb="FF1E3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D1FAE5"/>
        <bgColor rgb="FFCCFFFF"/>
      </patternFill>
    </fill>
    <fill>
      <patternFill patternType="solid">
        <fgColor rgb="FFE0E7FF"/>
        <bgColor rgb="FFD1FAE5"/>
      </patternFill>
    </fill>
    <fill>
      <patternFill patternType="solid">
        <fgColor rgb="FFFEF3C7"/>
        <bgColor rgb="FFFFFF99"/>
      </patternFill>
    </fill>
    <fill>
      <patternFill patternType="solid">
        <fgColor rgb="FFFED7AA"/>
        <bgColor rgb="FFFEF3C7"/>
      </patternFill>
    </fill>
    <fill>
      <patternFill patternType="solid">
        <fgColor rgb="FFFCA5A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0E7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CA5A5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B45309"/>
      <rgbColor rgb="FF993366"/>
      <rgbColor rgb="FF1E3A8A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32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customFormat="false" ht="15" hidden="false" customHeight="false" outlineLevel="0" collapsed="false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</row>
    <row r="8" customFormat="false" ht="15" hidden="false" customHeight="false" outlineLevel="0" collapsed="false">
      <c r="A8" s="5" t="s">
        <v>18</v>
      </c>
      <c r="B8" s="5" t="s">
        <v>19</v>
      </c>
      <c r="C8" s="5" t="s">
        <v>20</v>
      </c>
      <c r="D8" s="5" t="s">
        <v>21</v>
      </c>
      <c r="E8" s="5" t="s">
        <v>22</v>
      </c>
    </row>
    <row r="9" customFormat="false" ht="23.85" hidden="false" customHeight="false" outlineLevel="0" collapsed="false">
      <c r="A9" s="5" t="s">
        <v>23</v>
      </c>
      <c r="B9" s="5" t="s">
        <v>24</v>
      </c>
      <c r="C9" s="5" t="s">
        <v>25</v>
      </c>
      <c r="D9" s="5" t="s">
        <v>26</v>
      </c>
      <c r="E9" s="5" t="s">
        <v>27</v>
      </c>
    </row>
    <row r="10" customFormat="false" ht="15" hidden="false" customHeight="false" outlineLevel="0" collapsed="false">
      <c r="A10" s="6" t="s">
        <v>28</v>
      </c>
      <c r="B10" s="6" t="s">
        <v>29</v>
      </c>
      <c r="C10" s="6" t="s">
        <v>30</v>
      </c>
      <c r="D10" s="6" t="s">
        <v>31</v>
      </c>
      <c r="E10" s="6" t="s">
        <v>32</v>
      </c>
    </row>
    <row r="13" customFormat="false" ht="15" hidden="false" customHeight="false" outlineLevel="0" collapsed="false">
      <c r="A13" s="3" t="s">
        <v>33</v>
      </c>
    </row>
    <row r="14" customFormat="false" ht="39.55" hidden="false" customHeight="false" outlineLevel="0" collapsed="false">
      <c r="A14" s="7" t="s">
        <v>34</v>
      </c>
      <c r="B14" s="7" t="s">
        <v>8</v>
      </c>
      <c r="C14" s="7" t="s">
        <v>13</v>
      </c>
      <c r="D14" s="7" t="s">
        <v>18</v>
      </c>
      <c r="E14" s="7" t="s">
        <v>23</v>
      </c>
      <c r="F14" s="7" t="s">
        <v>35</v>
      </c>
      <c r="G14" s="7" t="s">
        <v>36</v>
      </c>
    </row>
    <row r="15" customFormat="false" ht="15" hidden="false" customHeight="false" outlineLevel="0" collapsed="false">
      <c r="A15" s="8" t="s">
        <v>37</v>
      </c>
      <c r="B15" s="9" t="n">
        <f aca="false">SUMIF('2. Matriz Funciones'!A:A,"Planning",'2. Matriz Funciones'!C:C)</f>
        <v>14</v>
      </c>
      <c r="C15" s="9" t="n">
        <f aca="false">SUMIF('2. Matriz Funciones'!A:A,"Planning",'2. Matriz Funciones'!D:D)</f>
        <v>1</v>
      </c>
      <c r="D15" s="9" t="n">
        <f aca="false">SUMIF('2. Matriz Funciones'!A:A,"Planning",'2. Matriz Funciones'!E:E)</f>
        <v>29</v>
      </c>
      <c r="E15" s="9" t="n">
        <f aca="false">SUMIF('2. Matriz Funciones'!A:A,"Planning",'2. Matriz Funciones'!F:F)</f>
        <v>14</v>
      </c>
      <c r="F15" s="9" t="n">
        <f aca="false">SUMIF('2. Matriz Funciones'!A:A,"Planning",'2. Matriz Funciones'!G:G)</f>
        <v>5</v>
      </c>
      <c r="G15" s="9" t="n">
        <f aca="false">SUMIF('2. Matriz Funciones'!A:A,"Planning",'2. Matriz Funciones'!H:H)</f>
        <v>21</v>
      </c>
    </row>
    <row r="16" customFormat="false" ht="15" hidden="false" customHeight="false" outlineLevel="0" collapsed="false">
      <c r="A16" s="8" t="s">
        <v>38</v>
      </c>
      <c r="B16" s="9" t="n">
        <f aca="false">SUMIF('2. Matriz Funciones'!A:A,"Scheduling",'2. Matriz Funciones'!C:C)</f>
        <v>19</v>
      </c>
      <c r="C16" s="9" t="n">
        <f aca="false">SUMIF('2. Matriz Funciones'!A:A,"Scheduling",'2. Matriz Funciones'!D:D)</f>
        <v>0</v>
      </c>
      <c r="D16" s="9" t="n">
        <f aca="false">SUMIF('2. Matriz Funciones'!A:A,"Scheduling",'2. Matriz Funciones'!E:E)</f>
        <v>8</v>
      </c>
      <c r="E16" s="9" t="n">
        <f aca="false">SUMIF('2. Matriz Funciones'!A:A,"Scheduling",'2. Matriz Funciones'!F:F)</f>
        <v>11</v>
      </c>
      <c r="F16" s="9" t="n">
        <f aca="false">SUMIF('2. Matriz Funciones'!A:A,"Scheduling",'2. Matriz Funciones'!G:G)</f>
        <v>8</v>
      </c>
      <c r="G16" s="9" t="n">
        <f aca="false">SUMIF('2. Matriz Funciones'!A:A,"Scheduling",'2. Matriz Funciones'!H:H)</f>
        <v>16</v>
      </c>
    </row>
    <row r="17" customFormat="false" ht="15" hidden="false" customHeight="false" outlineLevel="0" collapsed="false">
      <c r="A17" s="8" t="s">
        <v>39</v>
      </c>
      <c r="B17" s="9" t="n">
        <f aca="false">SUMIF('2. Matriz Funciones'!A:A,"Real-time",'2. Matriz Funciones'!C:C)</f>
        <v>28</v>
      </c>
      <c r="C17" s="9" t="n">
        <f aca="false">SUMIF('2. Matriz Funciones'!A:A,"Real-time",'2. Matriz Funciones'!D:D)</f>
        <v>39</v>
      </c>
      <c r="D17" s="9" t="n">
        <f aca="false">SUMIF('2. Matriz Funciones'!A:A,"Real-time",'2. Matriz Funciones'!E:E)</f>
        <v>2</v>
      </c>
      <c r="E17" s="9" t="n">
        <f aca="false">SUMIF('2. Matriz Funciones'!A:A,"Real-time",'2. Matriz Funciones'!F:F)</f>
        <v>28</v>
      </c>
      <c r="F17" s="9" t="n">
        <f aca="false">SUMIF('2. Matriz Funciones'!A:A,"Real-time",'2. Matriz Funciones'!G:G)</f>
        <v>18</v>
      </c>
      <c r="G17" s="9" t="n">
        <f aca="false">SUMIF('2. Matriz Funciones'!A:A,"Real-time",'2. Matriz Funciones'!H:H)</f>
        <v>36</v>
      </c>
    </row>
    <row r="18" customFormat="false" ht="15" hidden="false" customHeight="false" outlineLevel="0" collapsed="false">
      <c r="A18" s="8" t="s">
        <v>40</v>
      </c>
      <c r="B18" s="9" t="n">
        <f aca="false">SUMIF('2. Matriz Funciones'!A:A,"Analytics",'2. Matriz Funciones'!C:C)</f>
        <v>22</v>
      </c>
      <c r="C18" s="9" t="n">
        <f aca="false">SUMIF('2. Matriz Funciones'!A:A,"Analytics",'2. Matriz Funciones'!D:D)</f>
        <v>30</v>
      </c>
      <c r="D18" s="9" t="n">
        <f aca="false">SUMIF('2. Matriz Funciones'!A:A,"Analytics",'2. Matriz Funciones'!E:E)</f>
        <v>3</v>
      </c>
      <c r="E18" s="9" t="n">
        <f aca="false">SUMIF('2. Matriz Funciones'!A:A,"Analytics",'2. Matriz Funciones'!F:F)</f>
        <v>19</v>
      </c>
      <c r="F18" s="9" t="n">
        <f aca="false">SUMIF('2. Matriz Funciones'!A:A,"Analytics",'2. Matriz Funciones'!G:G)</f>
        <v>15</v>
      </c>
      <c r="G18" s="9" t="n">
        <f aca="false">SUMIF('2. Matriz Funciones'!A:A,"Analytics",'2. Matriz Funciones'!H:H)</f>
        <v>26</v>
      </c>
    </row>
    <row r="19" customFormat="false" ht="15" hidden="false" customHeight="false" outlineLevel="0" collapsed="false">
      <c r="A19" s="8" t="s">
        <v>41</v>
      </c>
      <c r="B19" s="9" t="n">
        <f aca="false">SUMIF('2. Matriz Funciones'!A:A,"EAM",'2. Matriz Funciones'!C:C)</f>
        <v>10</v>
      </c>
      <c r="C19" s="9" t="n">
        <f aca="false">SUMIF('2. Matriz Funciones'!A:A,"EAM",'2. Matriz Funciones'!D:D)</f>
        <v>0</v>
      </c>
      <c r="D19" s="9" t="n">
        <f aca="false">SUMIF('2. Matriz Funciones'!A:A,"EAM",'2. Matriz Funciones'!E:E)</f>
        <v>0</v>
      </c>
      <c r="E19" s="9" t="n">
        <f aca="false">SUMIF('2. Matriz Funciones'!A:A,"EAM",'2. Matriz Funciones'!F:F)</f>
        <v>21</v>
      </c>
      <c r="F19" s="9" t="n">
        <f aca="false">SUMIF('2. Matriz Funciones'!A:A,"EAM",'2. Matriz Funciones'!G:G)</f>
        <v>7</v>
      </c>
      <c r="G19" s="9" t="n">
        <f aca="false">SUMIF('2. Matriz Funciones'!A:A,"EAM",'2. Matriz Funciones'!H:H)</f>
        <v>19</v>
      </c>
    </row>
    <row r="20" customFormat="false" ht="15" hidden="false" customHeight="false" outlineLevel="0" collapsed="false">
      <c r="A20" s="8" t="s">
        <v>42</v>
      </c>
      <c r="B20" s="10" t="n">
        <f aca="false">SUMIF('2. Matriz Funciones'!A:A,"Cross-op ⭐",'2. Matriz Funciones'!C:C)</f>
        <v>1</v>
      </c>
      <c r="C20" s="10" t="n">
        <f aca="false">SUMIF('2. Matriz Funciones'!A:A,"Cross-op ⭐",'2. Matriz Funciones'!D:D)</f>
        <v>1</v>
      </c>
      <c r="D20" s="10" t="n">
        <f aca="false">SUMIF('2. Matriz Funciones'!A:A,"Cross-op ⭐",'2. Matriz Funciones'!E:E)</f>
        <v>1</v>
      </c>
      <c r="E20" s="10" t="n">
        <f aca="false">SUMIF('2. Matriz Funciones'!A:A,"Cross-op ⭐",'2. Matriz Funciones'!F:F)</f>
        <v>1</v>
      </c>
      <c r="F20" s="10" t="n">
        <f aca="false">SUMIF('2. Matriz Funciones'!A:A,"Cross-op ⭐",'2. Matriz Funciones'!G:G)</f>
        <v>22</v>
      </c>
      <c r="G20" s="10" t="n">
        <f aca="false">SUMIF('2. Matriz Funciones'!A:A,"Cross-op ⭐",'2. Matriz Funciones'!H:H)</f>
        <v>25</v>
      </c>
    </row>
    <row r="21" customFormat="false" ht="15" hidden="false" customHeight="false" outlineLevel="0" collapsed="false">
      <c r="A21" s="8" t="s">
        <v>43</v>
      </c>
      <c r="B21" s="9" t="n">
        <f aca="false">SUMIF('2. Matriz Funciones'!A:A,"Passenger",'2. Matriz Funciones'!C:C)</f>
        <v>10</v>
      </c>
      <c r="C21" s="9" t="n">
        <f aca="false">SUMIF('2. Matriz Funciones'!A:A,"Passenger",'2. Matriz Funciones'!D:D)</f>
        <v>8</v>
      </c>
      <c r="D21" s="9" t="n">
        <f aca="false">SUMIF('2. Matriz Funciones'!A:A,"Passenger",'2. Matriz Funciones'!E:E)</f>
        <v>2</v>
      </c>
      <c r="E21" s="9" t="n">
        <f aca="false">SUMIF('2. Matriz Funciones'!A:A,"Passenger",'2. Matriz Funciones'!F:F)</f>
        <v>10</v>
      </c>
      <c r="F21" s="9" t="n">
        <f aca="false">SUMIF('2. Matriz Funciones'!A:A,"Passenger",'2. Matriz Funciones'!G:G)</f>
        <v>4</v>
      </c>
      <c r="G21" s="9" t="n">
        <f aca="false">SUMIF('2. Matriz Funciones'!A:A,"Passenger",'2. Matriz Funciones'!H:H)</f>
        <v>9</v>
      </c>
    </row>
    <row r="22" customFormat="false" ht="15" hidden="false" customHeight="false" outlineLevel="0" collapsed="false">
      <c r="A22" s="8" t="s">
        <v>44</v>
      </c>
      <c r="B22" s="9" t="n">
        <f aca="false">SUMIF('2. Matriz Funciones'!A:A,"Standards",'2. Matriz Funciones'!C:C)</f>
        <v>20</v>
      </c>
      <c r="C22" s="9" t="n">
        <f aca="false">SUMIF('2. Matriz Funciones'!A:A,"Standards",'2. Matriz Funciones'!D:D)</f>
        <v>13</v>
      </c>
      <c r="D22" s="9" t="n">
        <f aca="false">SUMIF('2. Matriz Funciones'!A:A,"Standards",'2. Matriz Funciones'!E:E)</f>
        <v>10</v>
      </c>
      <c r="E22" s="9" t="n">
        <f aca="false">SUMIF('2. Matriz Funciones'!A:A,"Standards",'2. Matriz Funciones'!F:F)</f>
        <v>17</v>
      </c>
      <c r="F22" s="9" t="n">
        <f aca="false">SUMIF('2. Matriz Funciones'!A:A,"Standards",'2. Matriz Funciones'!G:G)</f>
        <v>13</v>
      </c>
      <c r="G22" s="9" t="n">
        <f aca="false">SUMIF('2. Matriz Funciones'!A:A,"Standards",'2. Matriz Funciones'!H:H)</f>
        <v>24</v>
      </c>
    </row>
    <row r="23" customFormat="false" ht="15" hidden="false" customHeight="false" outlineLevel="0" collapsed="false">
      <c r="A23" s="8" t="s">
        <v>45</v>
      </c>
      <c r="B23" s="9" t="n">
        <f aca="false">SUMIF('2. Matriz Funciones'!A:A,"Comercial",'2. Matriz Funciones'!C:C)</f>
        <v>11</v>
      </c>
      <c r="C23" s="9" t="n">
        <f aca="false">SUMIF('2. Matriz Funciones'!A:A,"Comercial",'2. Matriz Funciones'!D:D)</f>
        <v>11</v>
      </c>
      <c r="D23" s="9" t="n">
        <f aca="false">SUMIF('2. Matriz Funciones'!A:A,"Comercial",'2. Matriz Funciones'!E:E)</f>
        <v>13</v>
      </c>
      <c r="E23" s="9" t="n">
        <f aca="false">SUMIF('2. Matriz Funciones'!A:A,"Comercial",'2. Matriz Funciones'!F:F)</f>
        <v>7</v>
      </c>
      <c r="F23" s="9" t="n">
        <f aca="false">SUMIF('2. Matriz Funciones'!A:A,"Comercial",'2. Matriz Funciones'!G:G)</f>
        <v>20</v>
      </c>
      <c r="G23" s="9" t="n">
        <f aca="false">SUMIF('2. Matriz Funciones'!A:A,"Comercial",'2. Matriz Funciones'!H:H)</f>
        <v>24</v>
      </c>
    </row>
    <row r="24" customFormat="false" ht="15" hidden="false" customHeight="false" outlineLevel="0" collapsed="false">
      <c r="A24" s="8" t="s">
        <v>46</v>
      </c>
      <c r="B24" s="10" t="n">
        <f aca="false">SUMIF('2. Matriz Funciones'!A:A,"Regulatorio ⭐",'2. Matriz Funciones'!C:C)</f>
        <v>1</v>
      </c>
      <c r="C24" s="10" t="n">
        <f aca="false">SUMIF('2. Matriz Funciones'!A:A,"Regulatorio ⭐",'2. Matriz Funciones'!D:D)</f>
        <v>0</v>
      </c>
      <c r="D24" s="10" t="n">
        <f aca="false">SUMIF('2. Matriz Funciones'!A:A,"Regulatorio ⭐",'2. Matriz Funciones'!E:E)</f>
        <v>1</v>
      </c>
      <c r="E24" s="10" t="n">
        <f aca="false">SUMIF('2. Matriz Funciones'!A:A,"Regulatorio ⭐",'2. Matriz Funciones'!F:F)</f>
        <v>2</v>
      </c>
      <c r="F24" s="10" t="n">
        <f aca="false">SUMIF('2. Matriz Funciones'!A:A,"Regulatorio ⭐",'2. Matriz Funciones'!G:G)</f>
        <v>5</v>
      </c>
      <c r="G24" s="10" t="n">
        <f aca="false">SUMIF('2. Matriz Funciones'!A:A,"Regulatorio ⭐",'2. Matriz Funciones'!H:H)</f>
        <v>14</v>
      </c>
    </row>
    <row r="25" customFormat="false" ht="15" hidden="false" customHeight="false" outlineLevel="0" collapsed="false">
      <c r="A25" s="11" t="s">
        <v>47</v>
      </c>
      <c r="B25" s="11" t="n">
        <f aca="false">SUM(B15:B24)</f>
        <v>136</v>
      </c>
      <c r="C25" s="11" t="n">
        <f aca="false">SUM(C15:C24)</f>
        <v>103</v>
      </c>
      <c r="D25" s="11" t="n">
        <f aca="false">SUM(D15:D24)</f>
        <v>69</v>
      </c>
      <c r="E25" s="11" t="n">
        <f aca="false">SUM(E15:E24)</f>
        <v>130</v>
      </c>
      <c r="F25" s="11" t="n">
        <f aca="false">SUM(F15:F24)</f>
        <v>117</v>
      </c>
      <c r="G25" s="11" t="n">
        <f aca="false">SUM(G15:G24)</f>
        <v>214</v>
      </c>
    </row>
    <row r="27" customFormat="false" ht="15" hidden="false" customHeight="false" outlineLevel="0" collapsed="false">
      <c r="A27" s="3" t="s">
        <v>48</v>
      </c>
    </row>
    <row r="28" customFormat="false" ht="15" hidden="false" customHeight="false" outlineLevel="0" collapsed="false">
      <c r="A28" s="12" t="s">
        <v>49</v>
      </c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12" t="s">
        <v>50</v>
      </c>
      <c r="B29" s="12"/>
      <c r="C29" s="12"/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12" t="s">
        <v>51</v>
      </c>
      <c r="B30" s="12"/>
      <c r="C30" s="12"/>
      <c r="D30" s="12"/>
      <c r="E30" s="12"/>
      <c r="F30" s="12"/>
      <c r="G30" s="12"/>
      <c r="H30" s="12"/>
    </row>
    <row r="31" customFormat="false" ht="15" hidden="false" customHeight="false" outlineLevel="0" collapsed="false">
      <c r="A31" s="12" t="s">
        <v>52</v>
      </c>
      <c r="B31" s="12"/>
      <c r="C31" s="12"/>
      <c r="D31" s="12"/>
      <c r="E31" s="12"/>
      <c r="F31" s="12"/>
      <c r="G31" s="12"/>
      <c r="H31" s="12"/>
    </row>
    <row r="32" customFormat="false" ht="15" hidden="false" customHeight="false" outlineLevel="0" collapsed="false">
      <c r="A32" s="12" t="s">
        <v>53</v>
      </c>
      <c r="B32" s="12"/>
      <c r="C32" s="12"/>
      <c r="D32" s="12"/>
      <c r="E32" s="12"/>
      <c r="F32" s="12"/>
      <c r="G32" s="12"/>
      <c r="H32" s="12"/>
    </row>
  </sheetData>
  <mergeCells count="7">
    <mergeCell ref="A1:H1"/>
    <mergeCell ref="A2:H2"/>
    <mergeCell ref="A28:H28"/>
    <mergeCell ref="A29:H29"/>
    <mergeCell ref="A30:H30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6" min="3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1"/>
    <col collapsed="false" customWidth="true" hidden="false" outlineLevel="0" max="11" min="11" style="0" width="50"/>
  </cols>
  <sheetData>
    <row r="1" customFormat="false" ht="26.85" hidden="false" customHeight="false" outlineLevel="0" collapsed="false">
      <c r="A1" s="7" t="s">
        <v>34</v>
      </c>
      <c r="B1" s="7" t="s">
        <v>54</v>
      </c>
      <c r="C1" s="7" t="s">
        <v>8</v>
      </c>
      <c r="D1" s="7" t="s">
        <v>13</v>
      </c>
      <c r="E1" s="7" t="s">
        <v>18</v>
      </c>
      <c r="F1" s="7" t="s">
        <v>23</v>
      </c>
      <c r="G1" s="7" t="s">
        <v>35</v>
      </c>
      <c r="H1" s="7" t="s">
        <v>36</v>
      </c>
      <c r="I1" s="7" t="s">
        <v>55</v>
      </c>
      <c r="J1" s="7" t="s">
        <v>56</v>
      </c>
      <c r="K1" s="7" t="s">
        <v>57</v>
      </c>
    </row>
    <row r="2" customFormat="false" ht="15" hidden="false" customHeight="false" outlineLevel="0" collapsed="false">
      <c r="A2" s="5" t="s">
        <v>37</v>
      </c>
      <c r="B2" s="5" t="s">
        <v>58</v>
      </c>
      <c r="C2" s="9" t="n">
        <v>3</v>
      </c>
      <c r="D2" s="9" t="n">
        <v>0</v>
      </c>
      <c r="E2" s="9" t="n">
        <v>5</v>
      </c>
      <c r="F2" s="9" t="n">
        <v>3</v>
      </c>
      <c r="G2" s="9" t="n">
        <v>1</v>
      </c>
      <c r="H2" s="9" t="n">
        <v>4</v>
      </c>
      <c r="I2" s="13" t="s">
        <v>59</v>
      </c>
      <c r="J2" s="13" t="s">
        <v>60</v>
      </c>
      <c r="K2" s="5" t="s">
        <v>61</v>
      </c>
    </row>
    <row r="3" customFormat="false" ht="15" hidden="false" customHeight="false" outlineLevel="0" collapsed="false">
      <c r="A3" s="5" t="s">
        <v>37</v>
      </c>
      <c r="B3" s="5" t="s">
        <v>62</v>
      </c>
      <c r="C3" s="9" t="n">
        <v>1</v>
      </c>
      <c r="D3" s="9" t="n">
        <v>0</v>
      </c>
      <c r="E3" s="9" t="n">
        <v>5</v>
      </c>
      <c r="F3" s="9" t="n">
        <v>1</v>
      </c>
      <c r="G3" s="9" t="n">
        <v>0</v>
      </c>
      <c r="H3" s="9" t="n">
        <v>4</v>
      </c>
      <c r="I3" s="13" t="s">
        <v>59</v>
      </c>
      <c r="J3" s="13" t="s">
        <v>63</v>
      </c>
      <c r="K3" s="5" t="s">
        <v>64</v>
      </c>
    </row>
    <row r="4" customFormat="false" ht="15" hidden="false" customHeight="false" outlineLevel="0" collapsed="false">
      <c r="A4" s="5" t="s">
        <v>37</v>
      </c>
      <c r="B4" s="5" t="s">
        <v>65</v>
      </c>
      <c r="C4" s="9" t="n">
        <v>1</v>
      </c>
      <c r="D4" s="9" t="n">
        <v>0</v>
      </c>
      <c r="E4" s="9" t="n">
        <v>5</v>
      </c>
      <c r="F4" s="9" t="n">
        <v>1</v>
      </c>
      <c r="G4" s="9" t="n">
        <v>0</v>
      </c>
      <c r="H4" s="9" t="n">
        <v>5</v>
      </c>
      <c r="I4" s="13" t="s">
        <v>59</v>
      </c>
      <c r="J4" s="13" t="s">
        <v>60</v>
      </c>
      <c r="K4" s="5" t="s">
        <v>66</v>
      </c>
    </row>
    <row r="5" customFormat="false" ht="15" hidden="false" customHeight="false" outlineLevel="0" collapsed="false">
      <c r="A5" s="5" t="s">
        <v>37</v>
      </c>
      <c r="B5" s="5" t="s">
        <v>67</v>
      </c>
      <c r="C5" s="9" t="n">
        <v>4</v>
      </c>
      <c r="D5" s="9" t="n">
        <v>0</v>
      </c>
      <c r="E5" s="9" t="n">
        <v>5</v>
      </c>
      <c r="F5" s="9" t="n">
        <v>3</v>
      </c>
      <c r="G5" s="9" t="n">
        <v>1</v>
      </c>
      <c r="H5" s="9" t="n">
        <v>4</v>
      </c>
      <c r="I5" s="13" t="s">
        <v>68</v>
      </c>
      <c r="J5" s="13" t="s">
        <v>63</v>
      </c>
      <c r="K5" s="5" t="s">
        <v>69</v>
      </c>
    </row>
    <row r="6" customFormat="false" ht="15" hidden="false" customHeight="false" outlineLevel="0" collapsed="false">
      <c r="A6" s="5" t="s">
        <v>37</v>
      </c>
      <c r="B6" s="5" t="s">
        <v>70</v>
      </c>
      <c r="C6" s="9" t="n">
        <v>4</v>
      </c>
      <c r="D6" s="9" t="n">
        <v>1</v>
      </c>
      <c r="E6" s="9" t="n">
        <v>5</v>
      </c>
      <c r="F6" s="9" t="n">
        <v>4</v>
      </c>
      <c r="G6" s="9" t="n">
        <v>3</v>
      </c>
      <c r="H6" s="9" t="n">
        <v>4</v>
      </c>
      <c r="I6" s="13" t="s">
        <v>68</v>
      </c>
      <c r="J6" s="13" t="s">
        <v>63</v>
      </c>
      <c r="K6" s="5" t="s">
        <v>71</v>
      </c>
    </row>
    <row r="7" customFormat="false" ht="15" hidden="false" customHeight="false" outlineLevel="0" collapsed="false">
      <c r="A7" s="5" t="s">
        <v>37</v>
      </c>
      <c r="B7" s="5" t="s">
        <v>72</v>
      </c>
      <c r="C7" s="9" t="n">
        <v>1</v>
      </c>
      <c r="D7" s="9" t="n">
        <v>0</v>
      </c>
      <c r="E7" s="9" t="n">
        <v>4</v>
      </c>
      <c r="F7" s="9" t="n">
        <v>2</v>
      </c>
      <c r="G7" s="9" t="n">
        <v>0</v>
      </c>
      <c r="H7" s="9" t="n">
        <v>0</v>
      </c>
      <c r="I7" s="13" t="s">
        <v>73</v>
      </c>
      <c r="J7" s="13" t="s">
        <v>60</v>
      </c>
      <c r="K7" s="5" t="s">
        <v>74</v>
      </c>
    </row>
    <row r="8" customFormat="false" ht="15" hidden="false" customHeight="false" outlineLevel="0" collapsed="false">
      <c r="A8" s="5" t="s">
        <v>38</v>
      </c>
      <c r="B8" s="5" t="s">
        <v>75</v>
      </c>
      <c r="C8" s="9" t="n">
        <v>5</v>
      </c>
      <c r="D8" s="9" t="n">
        <v>0</v>
      </c>
      <c r="E8" s="9" t="n">
        <v>3</v>
      </c>
      <c r="F8" s="9" t="n">
        <v>4</v>
      </c>
      <c r="G8" s="9" t="n">
        <v>2</v>
      </c>
      <c r="H8" s="9" t="n">
        <v>4</v>
      </c>
      <c r="I8" s="13" t="s">
        <v>59</v>
      </c>
      <c r="J8" s="13" t="s">
        <v>60</v>
      </c>
      <c r="K8" s="5" t="s">
        <v>76</v>
      </c>
    </row>
    <row r="9" customFormat="false" ht="15" hidden="false" customHeight="false" outlineLevel="0" collapsed="false">
      <c r="A9" s="5" t="s">
        <v>38</v>
      </c>
      <c r="B9" s="5" t="s">
        <v>77</v>
      </c>
      <c r="C9" s="9" t="n">
        <v>4</v>
      </c>
      <c r="D9" s="9" t="n">
        <v>0</v>
      </c>
      <c r="E9" s="9" t="n">
        <v>3</v>
      </c>
      <c r="F9" s="9" t="n">
        <v>4</v>
      </c>
      <c r="G9" s="9" t="n">
        <v>3</v>
      </c>
      <c r="H9" s="9" t="n">
        <v>4</v>
      </c>
      <c r="I9" s="13" t="s">
        <v>68</v>
      </c>
      <c r="J9" s="13" t="s">
        <v>63</v>
      </c>
      <c r="K9" s="5" t="s">
        <v>78</v>
      </c>
    </row>
    <row r="10" customFormat="false" ht="15" hidden="false" customHeight="false" outlineLevel="0" collapsed="false">
      <c r="A10" s="5" t="s">
        <v>38</v>
      </c>
      <c r="B10" s="5" t="s">
        <v>79</v>
      </c>
      <c r="C10" s="9" t="n">
        <v>5</v>
      </c>
      <c r="D10" s="9" t="n">
        <v>0</v>
      </c>
      <c r="E10" s="9" t="n">
        <v>2</v>
      </c>
      <c r="F10" s="9" t="n">
        <v>3</v>
      </c>
      <c r="G10" s="9" t="n">
        <v>3</v>
      </c>
      <c r="H10" s="9" t="n">
        <v>4</v>
      </c>
      <c r="I10" s="13" t="s">
        <v>68</v>
      </c>
      <c r="J10" s="13" t="s">
        <v>63</v>
      </c>
      <c r="K10" s="5" t="s">
        <v>80</v>
      </c>
    </row>
    <row r="11" customFormat="false" ht="15" hidden="false" customHeight="false" outlineLevel="0" collapsed="false">
      <c r="A11" s="5" t="s">
        <v>38</v>
      </c>
      <c r="B11" s="5" t="s">
        <v>81</v>
      </c>
      <c r="C11" s="9" t="n">
        <v>5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4</v>
      </c>
      <c r="I11" s="13" t="s">
        <v>59</v>
      </c>
      <c r="J11" s="13" t="s">
        <v>63</v>
      </c>
      <c r="K11" s="5" t="s">
        <v>82</v>
      </c>
    </row>
    <row r="12" customFormat="false" ht="15" hidden="false" customHeight="false" outlineLevel="0" collapsed="false">
      <c r="A12" s="5" t="s">
        <v>39</v>
      </c>
      <c r="B12" s="5" t="s">
        <v>83</v>
      </c>
      <c r="C12" s="9" t="n">
        <v>4</v>
      </c>
      <c r="D12" s="9" t="n">
        <v>5</v>
      </c>
      <c r="E12" s="9" t="n">
        <v>1</v>
      </c>
      <c r="F12" s="9" t="n">
        <v>4</v>
      </c>
      <c r="G12" s="9" t="n">
        <v>4</v>
      </c>
      <c r="H12" s="9" t="n">
        <v>5</v>
      </c>
      <c r="I12" s="13" t="s">
        <v>68</v>
      </c>
      <c r="J12" s="13" t="s">
        <v>84</v>
      </c>
      <c r="K12" s="5" t="s">
        <v>85</v>
      </c>
    </row>
    <row r="13" customFormat="false" ht="15" hidden="false" customHeight="false" outlineLevel="0" collapsed="false">
      <c r="A13" s="5" t="s">
        <v>39</v>
      </c>
      <c r="B13" s="5" t="s">
        <v>86</v>
      </c>
      <c r="C13" s="9" t="n">
        <v>4</v>
      </c>
      <c r="D13" s="9" t="n">
        <v>5</v>
      </c>
      <c r="E13" s="9" t="n">
        <v>1</v>
      </c>
      <c r="F13" s="9" t="n">
        <v>4</v>
      </c>
      <c r="G13" s="9" t="n">
        <v>3</v>
      </c>
      <c r="H13" s="9" t="n">
        <v>5</v>
      </c>
      <c r="I13" s="13" t="s">
        <v>68</v>
      </c>
      <c r="J13" s="13" t="s">
        <v>63</v>
      </c>
      <c r="K13" s="5" t="s">
        <v>87</v>
      </c>
    </row>
    <row r="14" customFormat="false" ht="15" hidden="false" customHeight="false" outlineLevel="0" collapsed="false">
      <c r="A14" s="5" t="s">
        <v>39</v>
      </c>
      <c r="B14" s="5" t="s">
        <v>88</v>
      </c>
      <c r="C14" s="9" t="n">
        <v>2</v>
      </c>
      <c r="D14" s="9" t="n">
        <v>5</v>
      </c>
      <c r="E14" s="9" t="n">
        <v>0</v>
      </c>
      <c r="F14" s="9" t="n">
        <v>2</v>
      </c>
      <c r="G14" s="9" t="n">
        <v>1</v>
      </c>
      <c r="H14" s="9" t="n">
        <v>4</v>
      </c>
      <c r="I14" s="13" t="s">
        <v>59</v>
      </c>
      <c r="J14" s="13" t="s">
        <v>60</v>
      </c>
      <c r="K14" s="5" t="s">
        <v>89</v>
      </c>
    </row>
    <row r="15" customFormat="false" ht="15" hidden="false" customHeight="false" outlineLevel="0" collapsed="false">
      <c r="A15" s="5" t="s">
        <v>39</v>
      </c>
      <c r="B15" s="5" t="s">
        <v>90</v>
      </c>
      <c r="C15" s="9" t="n">
        <v>3</v>
      </c>
      <c r="D15" s="9" t="n">
        <v>5</v>
      </c>
      <c r="E15" s="9" t="n">
        <v>0</v>
      </c>
      <c r="F15" s="9" t="n">
        <v>3</v>
      </c>
      <c r="G15" s="9" t="n">
        <v>2</v>
      </c>
      <c r="H15" s="9" t="n">
        <v>5</v>
      </c>
      <c r="I15" s="13" t="s">
        <v>59</v>
      </c>
      <c r="J15" s="13" t="s">
        <v>63</v>
      </c>
      <c r="K15" s="5" t="s">
        <v>91</v>
      </c>
    </row>
    <row r="16" customFormat="false" ht="15" hidden="false" customHeight="false" outlineLevel="0" collapsed="false">
      <c r="A16" s="5" t="s">
        <v>39</v>
      </c>
      <c r="B16" s="5" t="s">
        <v>92</v>
      </c>
      <c r="C16" s="9" t="n">
        <v>5</v>
      </c>
      <c r="D16" s="9" t="n">
        <v>5</v>
      </c>
      <c r="E16" s="9" t="n">
        <v>0</v>
      </c>
      <c r="F16" s="9" t="n">
        <v>4</v>
      </c>
      <c r="G16" s="9" t="n">
        <v>4</v>
      </c>
      <c r="H16" s="9" t="n">
        <v>5</v>
      </c>
      <c r="I16" s="13" t="s">
        <v>68</v>
      </c>
      <c r="J16" s="13" t="s">
        <v>84</v>
      </c>
      <c r="K16" s="5" t="s">
        <v>93</v>
      </c>
    </row>
    <row r="17" customFormat="false" ht="15" hidden="false" customHeight="false" outlineLevel="0" collapsed="false">
      <c r="A17" s="5" t="s">
        <v>39</v>
      </c>
      <c r="B17" s="5" t="s">
        <v>94</v>
      </c>
      <c r="C17" s="9" t="n">
        <v>3</v>
      </c>
      <c r="D17" s="9" t="n">
        <v>5</v>
      </c>
      <c r="E17" s="9" t="n">
        <v>0</v>
      </c>
      <c r="F17" s="9" t="n">
        <v>4</v>
      </c>
      <c r="G17" s="9" t="n">
        <v>2</v>
      </c>
      <c r="H17" s="9" t="n">
        <v>4</v>
      </c>
      <c r="I17" s="13" t="s">
        <v>68</v>
      </c>
      <c r="J17" s="13" t="s">
        <v>63</v>
      </c>
      <c r="K17" s="5" t="s">
        <v>95</v>
      </c>
    </row>
    <row r="18" customFormat="false" ht="15" hidden="false" customHeight="false" outlineLevel="0" collapsed="false">
      <c r="A18" s="5" t="s">
        <v>39</v>
      </c>
      <c r="B18" s="5" t="s">
        <v>96</v>
      </c>
      <c r="C18" s="9" t="n">
        <v>2</v>
      </c>
      <c r="D18" s="9" t="n">
        <v>5</v>
      </c>
      <c r="E18" s="9" t="n">
        <v>0</v>
      </c>
      <c r="F18" s="9" t="n">
        <v>3</v>
      </c>
      <c r="G18" s="9" t="n">
        <v>0</v>
      </c>
      <c r="H18" s="9" t="n">
        <v>4</v>
      </c>
      <c r="I18" s="13" t="s">
        <v>68</v>
      </c>
      <c r="J18" s="13" t="s">
        <v>84</v>
      </c>
      <c r="K18" s="5" t="s">
        <v>97</v>
      </c>
    </row>
    <row r="19" customFormat="false" ht="15" hidden="false" customHeight="false" outlineLevel="0" collapsed="false">
      <c r="A19" s="5" t="s">
        <v>39</v>
      </c>
      <c r="B19" s="5" t="s">
        <v>98</v>
      </c>
      <c r="C19" s="9" t="n">
        <v>5</v>
      </c>
      <c r="D19" s="9" t="n">
        <v>4</v>
      </c>
      <c r="E19" s="9" t="n">
        <v>0</v>
      </c>
      <c r="F19" s="9" t="n">
        <v>4</v>
      </c>
      <c r="G19" s="9" t="n">
        <v>2</v>
      </c>
      <c r="H19" s="9" t="n">
        <v>4</v>
      </c>
      <c r="I19" s="13" t="s">
        <v>68</v>
      </c>
      <c r="J19" s="13" t="s">
        <v>63</v>
      </c>
      <c r="K19" s="5" t="s">
        <v>99</v>
      </c>
    </row>
    <row r="20" customFormat="false" ht="15" hidden="false" customHeight="false" outlineLevel="0" collapsed="false">
      <c r="A20" s="5" t="s">
        <v>40</v>
      </c>
      <c r="B20" s="5" t="s">
        <v>100</v>
      </c>
      <c r="C20" s="9" t="n">
        <v>3</v>
      </c>
      <c r="D20" s="9" t="n">
        <v>5</v>
      </c>
      <c r="E20" s="9" t="n">
        <v>0</v>
      </c>
      <c r="F20" s="9" t="n">
        <v>3</v>
      </c>
      <c r="G20" s="9" t="n">
        <v>2</v>
      </c>
      <c r="H20" s="9" t="n">
        <v>4</v>
      </c>
      <c r="I20" s="13" t="s">
        <v>68</v>
      </c>
      <c r="J20" s="13" t="s">
        <v>84</v>
      </c>
      <c r="K20" s="5" t="s">
        <v>101</v>
      </c>
    </row>
    <row r="21" customFormat="false" ht="15" hidden="false" customHeight="false" outlineLevel="0" collapsed="false">
      <c r="A21" s="5" t="s">
        <v>40</v>
      </c>
      <c r="B21" s="5" t="s">
        <v>102</v>
      </c>
      <c r="C21" s="9" t="n">
        <v>3</v>
      </c>
      <c r="D21" s="9" t="n">
        <v>5</v>
      </c>
      <c r="E21" s="9" t="n">
        <v>0</v>
      </c>
      <c r="F21" s="9" t="n">
        <v>3</v>
      </c>
      <c r="G21" s="9" t="n">
        <v>3</v>
      </c>
      <c r="H21" s="9" t="n">
        <v>4</v>
      </c>
      <c r="I21" s="13" t="s">
        <v>68</v>
      </c>
      <c r="J21" s="13" t="s">
        <v>63</v>
      </c>
      <c r="K21" s="5" t="s">
        <v>103</v>
      </c>
    </row>
    <row r="22" customFormat="false" ht="15" hidden="false" customHeight="false" outlineLevel="0" collapsed="false">
      <c r="A22" s="5" t="s">
        <v>40</v>
      </c>
      <c r="B22" s="5" t="s">
        <v>104</v>
      </c>
      <c r="C22" s="9" t="n">
        <v>3</v>
      </c>
      <c r="D22" s="9" t="n">
        <v>5</v>
      </c>
      <c r="E22" s="9" t="n">
        <v>0</v>
      </c>
      <c r="F22" s="9" t="n">
        <v>3</v>
      </c>
      <c r="G22" s="9" t="n">
        <v>3</v>
      </c>
      <c r="H22" s="9" t="n">
        <v>4</v>
      </c>
      <c r="I22" s="13" t="s">
        <v>68</v>
      </c>
      <c r="J22" s="13" t="s">
        <v>63</v>
      </c>
      <c r="K22" s="5" t="s">
        <v>105</v>
      </c>
    </row>
    <row r="23" customFormat="false" ht="15" hidden="false" customHeight="false" outlineLevel="0" collapsed="false">
      <c r="A23" s="5" t="s">
        <v>40</v>
      </c>
      <c r="B23" s="5" t="s">
        <v>106</v>
      </c>
      <c r="C23" s="9" t="n">
        <v>3</v>
      </c>
      <c r="D23" s="9" t="n">
        <v>5</v>
      </c>
      <c r="E23" s="9" t="n">
        <v>0</v>
      </c>
      <c r="F23" s="9" t="n">
        <v>3</v>
      </c>
      <c r="G23" s="9" t="n">
        <v>1</v>
      </c>
      <c r="H23" s="9" t="n">
        <v>4</v>
      </c>
      <c r="I23" s="13" t="s">
        <v>68</v>
      </c>
      <c r="J23" s="13" t="s">
        <v>63</v>
      </c>
      <c r="K23" s="5" t="s">
        <v>107</v>
      </c>
    </row>
    <row r="24" customFormat="false" ht="15" hidden="false" customHeight="false" outlineLevel="0" collapsed="false">
      <c r="A24" s="5" t="s">
        <v>40</v>
      </c>
      <c r="B24" s="5" t="s">
        <v>108</v>
      </c>
      <c r="C24" s="9" t="n">
        <v>5</v>
      </c>
      <c r="D24" s="9" t="n">
        <v>5</v>
      </c>
      <c r="E24" s="9" t="n">
        <v>1</v>
      </c>
      <c r="F24" s="9" t="n">
        <v>3</v>
      </c>
      <c r="G24" s="9" t="n">
        <v>2</v>
      </c>
      <c r="H24" s="9" t="n">
        <v>5</v>
      </c>
      <c r="I24" s="13" t="s">
        <v>59</v>
      </c>
      <c r="J24" s="13" t="s">
        <v>84</v>
      </c>
      <c r="K24" s="5" t="s">
        <v>109</v>
      </c>
    </row>
    <row r="25" customFormat="false" ht="15" hidden="false" customHeight="false" outlineLevel="0" collapsed="false">
      <c r="A25" s="5" t="s">
        <v>40</v>
      </c>
      <c r="B25" s="5" t="s">
        <v>110</v>
      </c>
      <c r="C25" s="9" t="n">
        <v>5</v>
      </c>
      <c r="D25" s="9" t="n">
        <v>5</v>
      </c>
      <c r="E25" s="9" t="n">
        <v>2</v>
      </c>
      <c r="F25" s="9" t="n">
        <v>4</v>
      </c>
      <c r="G25" s="9" t="n">
        <v>4</v>
      </c>
      <c r="H25" s="9" t="n">
        <v>5</v>
      </c>
      <c r="I25" s="13" t="s">
        <v>59</v>
      </c>
      <c r="J25" s="13" t="s">
        <v>84</v>
      </c>
      <c r="K25" s="5" t="s">
        <v>111</v>
      </c>
    </row>
    <row r="26" customFormat="false" ht="15" hidden="false" customHeight="false" outlineLevel="0" collapsed="false">
      <c r="A26" s="5" t="s">
        <v>41</v>
      </c>
      <c r="B26" s="5" t="s">
        <v>112</v>
      </c>
      <c r="C26" s="9" t="n">
        <v>2</v>
      </c>
      <c r="D26" s="9" t="n">
        <v>0</v>
      </c>
      <c r="E26" s="9" t="n">
        <v>0</v>
      </c>
      <c r="F26" s="9" t="n">
        <v>5</v>
      </c>
      <c r="G26" s="9" t="n">
        <v>1</v>
      </c>
      <c r="H26" s="9" t="n">
        <v>4</v>
      </c>
      <c r="I26" s="13" t="s">
        <v>59</v>
      </c>
      <c r="J26" s="13" t="s">
        <v>113</v>
      </c>
      <c r="K26" s="5" t="s">
        <v>114</v>
      </c>
    </row>
    <row r="27" customFormat="false" ht="15" hidden="false" customHeight="false" outlineLevel="0" collapsed="false">
      <c r="A27" s="5" t="s">
        <v>41</v>
      </c>
      <c r="B27" s="5" t="s">
        <v>115</v>
      </c>
      <c r="C27" s="9" t="n">
        <v>1</v>
      </c>
      <c r="D27" s="9" t="n">
        <v>0</v>
      </c>
      <c r="E27" s="9" t="n">
        <v>0</v>
      </c>
      <c r="F27" s="9" t="n">
        <v>3</v>
      </c>
      <c r="G27" s="9" t="n">
        <v>1</v>
      </c>
      <c r="H27" s="9" t="n">
        <v>3</v>
      </c>
      <c r="I27" s="13" t="s">
        <v>68</v>
      </c>
      <c r="J27" s="13" t="s">
        <v>60</v>
      </c>
      <c r="K27" s="5" t="s">
        <v>116</v>
      </c>
    </row>
    <row r="28" customFormat="false" ht="15" hidden="false" customHeight="false" outlineLevel="0" collapsed="false">
      <c r="A28" s="5" t="s">
        <v>41</v>
      </c>
      <c r="B28" s="5" t="s">
        <v>117</v>
      </c>
      <c r="C28" s="9" t="n">
        <v>2</v>
      </c>
      <c r="D28" s="9" t="n">
        <v>0</v>
      </c>
      <c r="E28" s="9" t="n">
        <v>0</v>
      </c>
      <c r="F28" s="9" t="n">
        <v>5</v>
      </c>
      <c r="G28" s="9" t="n">
        <v>2</v>
      </c>
      <c r="H28" s="9" t="n">
        <v>4</v>
      </c>
      <c r="I28" s="13" t="s">
        <v>68</v>
      </c>
      <c r="J28" s="13" t="s">
        <v>63</v>
      </c>
      <c r="K28" s="5" t="s">
        <v>118</v>
      </c>
    </row>
    <row r="29" customFormat="false" ht="15" hidden="false" customHeight="false" outlineLevel="0" collapsed="false">
      <c r="A29" s="5" t="s">
        <v>41</v>
      </c>
      <c r="B29" s="5" t="s">
        <v>119</v>
      </c>
      <c r="C29" s="9" t="n">
        <v>3</v>
      </c>
      <c r="D29" s="9" t="n">
        <v>0</v>
      </c>
      <c r="E29" s="9" t="n">
        <v>0</v>
      </c>
      <c r="F29" s="9" t="n">
        <v>4</v>
      </c>
      <c r="G29" s="9" t="n">
        <v>2</v>
      </c>
      <c r="H29" s="9" t="n">
        <v>4</v>
      </c>
      <c r="I29" s="13" t="s">
        <v>59</v>
      </c>
      <c r="J29" s="13" t="s">
        <v>63</v>
      </c>
      <c r="K29" s="5" t="s">
        <v>120</v>
      </c>
    </row>
    <row r="30" customFormat="false" ht="15" hidden="false" customHeight="false" outlineLevel="0" collapsed="false">
      <c r="A30" s="5" t="s">
        <v>41</v>
      </c>
      <c r="B30" s="5" t="s">
        <v>121</v>
      </c>
      <c r="C30" s="9" t="n">
        <v>2</v>
      </c>
      <c r="D30" s="9" t="n">
        <v>0</v>
      </c>
      <c r="E30" s="9" t="n">
        <v>0</v>
      </c>
      <c r="F30" s="9" t="n">
        <v>4</v>
      </c>
      <c r="G30" s="9" t="n">
        <v>1</v>
      </c>
      <c r="H30" s="9" t="n">
        <v>4</v>
      </c>
      <c r="I30" s="13" t="s">
        <v>68</v>
      </c>
      <c r="J30" s="13" t="s">
        <v>84</v>
      </c>
      <c r="K30" s="5" t="s">
        <v>122</v>
      </c>
    </row>
    <row r="31" customFormat="false" ht="15" hidden="false" customHeight="false" outlineLevel="0" collapsed="false">
      <c r="A31" s="14" t="s">
        <v>42</v>
      </c>
      <c r="B31" s="5" t="s">
        <v>123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5</v>
      </c>
      <c r="H31" s="9" t="n">
        <v>5</v>
      </c>
      <c r="I31" s="13" t="s">
        <v>124</v>
      </c>
      <c r="J31" s="13" t="s">
        <v>125</v>
      </c>
      <c r="K31" s="5" t="s">
        <v>126</v>
      </c>
    </row>
    <row r="32" customFormat="false" ht="15" hidden="false" customHeight="false" outlineLevel="0" collapsed="false">
      <c r="A32" s="14" t="s">
        <v>42</v>
      </c>
      <c r="B32" s="5" t="s">
        <v>127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4</v>
      </c>
      <c r="H32" s="9" t="n">
        <v>5</v>
      </c>
      <c r="I32" s="13" t="s">
        <v>124</v>
      </c>
      <c r="J32" s="13" t="s">
        <v>84</v>
      </c>
      <c r="K32" s="5" t="s">
        <v>128</v>
      </c>
    </row>
    <row r="33" customFormat="false" ht="15" hidden="false" customHeight="false" outlineLevel="0" collapsed="false">
      <c r="A33" s="14" t="s">
        <v>42</v>
      </c>
      <c r="B33" s="5" t="s">
        <v>129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4</v>
      </c>
      <c r="H33" s="9" t="n">
        <v>5</v>
      </c>
      <c r="I33" s="13" t="s">
        <v>124</v>
      </c>
      <c r="J33" s="13" t="s">
        <v>125</v>
      </c>
      <c r="K33" s="5" t="s">
        <v>130</v>
      </c>
    </row>
    <row r="34" customFormat="false" ht="15" hidden="false" customHeight="false" outlineLevel="0" collapsed="false">
      <c r="A34" s="14" t="s">
        <v>42</v>
      </c>
      <c r="B34" s="5" t="s">
        <v>131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4</v>
      </c>
      <c r="H34" s="9" t="n">
        <v>5</v>
      </c>
      <c r="I34" s="13" t="s">
        <v>124</v>
      </c>
      <c r="J34" s="13" t="s">
        <v>125</v>
      </c>
      <c r="K34" s="5" t="s">
        <v>130</v>
      </c>
    </row>
    <row r="35" customFormat="false" ht="15" hidden="false" customHeight="false" outlineLevel="0" collapsed="false">
      <c r="A35" s="14" t="s">
        <v>42</v>
      </c>
      <c r="B35" s="5" t="s">
        <v>132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5</v>
      </c>
      <c r="H35" s="9" t="n">
        <v>5</v>
      </c>
      <c r="I35" s="13" t="s">
        <v>124</v>
      </c>
      <c r="J35" s="13" t="s">
        <v>125</v>
      </c>
      <c r="K35" s="5" t="s">
        <v>133</v>
      </c>
    </row>
    <row r="36" customFormat="false" ht="15" hidden="false" customHeight="false" outlineLevel="0" collapsed="false">
      <c r="A36" s="5" t="s">
        <v>43</v>
      </c>
      <c r="B36" s="5" t="s">
        <v>134</v>
      </c>
      <c r="C36" s="9" t="n">
        <v>4</v>
      </c>
      <c r="D36" s="9" t="n">
        <v>4</v>
      </c>
      <c r="E36" s="9" t="n">
        <v>1</v>
      </c>
      <c r="F36" s="9" t="n">
        <v>3</v>
      </c>
      <c r="G36" s="9" t="n">
        <v>1</v>
      </c>
      <c r="H36" s="9" t="n">
        <v>3</v>
      </c>
      <c r="I36" s="13" t="s">
        <v>68</v>
      </c>
      <c r="J36" s="13" t="s">
        <v>60</v>
      </c>
      <c r="K36" s="5" t="s">
        <v>135</v>
      </c>
    </row>
    <row r="37" customFormat="false" ht="15" hidden="false" customHeight="false" outlineLevel="0" collapsed="false">
      <c r="A37" s="5" t="s">
        <v>43</v>
      </c>
      <c r="B37" s="5" t="s">
        <v>136</v>
      </c>
      <c r="C37" s="9" t="n">
        <v>2</v>
      </c>
      <c r="D37" s="9" t="n">
        <v>0</v>
      </c>
      <c r="E37" s="9" t="n">
        <v>1</v>
      </c>
      <c r="F37" s="9" t="n">
        <v>4</v>
      </c>
      <c r="G37" s="9" t="n">
        <v>0</v>
      </c>
      <c r="H37" s="9" t="n">
        <v>2</v>
      </c>
      <c r="I37" s="13" t="s">
        <v>73</v>
      </c>
      <c r="J37" s="13" t="s">
        <v>60</v>
      </c>
      <c r="K37" s="5" t="s">
        <v>137</v>
      </c>
    </row>
    <row r="38" customFormat="false" ht="15" hidden="false" customHeight="false" outlineLevel="0" collapsed="false">
      <c r="A38" s="5" t="s">
        <v>43</v>
      </c>
      <c r="B38" s="5" t="s">
        <v>138</v>
      </c>
      <c r="C38" s="9" t="n">
        <v>4</v>
      </c>
      <c r="D38" s="9" t="n">
        <v>4</v>
      </c>
      <c r="E38" s="9" t="n">
        <v>0</v>
      </c>
      <c r="F38" s="9" t="n">
        <v>3</v>
      </c>
      <c r="G38" s="9" t="n">
        <v>3</v>
      </c>
      <c r="H38" s="9" t="n">
        <v>4</v>
      </c>
      <c r="I38" s="13" t="s">
        <v>68</v>
      </c>
      <c r="J38" s="13" t="s">
        <v>63</v>
      </c>
      <c r="K38" s="5" t="s">
        <v>139</v>
      </c>
    </row>
    <row r="39" customFormat="false" ht="15" hidden="false" customHeight="false" outlineLevel="0" collapsed="false">
      <c r="A39" s="5" t="s">
        <v>44</v>
      </c>
      <c r="B39" s="5" t="s">
        <v>140</v>
      </c>
      <c r="C39" s="9" t="n">
        <v>5</v>
      </c>
      <c r="D39" s="9" t="n">
        <v>5</v>
      </c>
      <c r="E39" s="9" t="n">
        <v>5</v>
      </c>
      <c r="F39" s="9" t="n">
        <v>4</v>
      </c>
      <c r="G39" s="9" t="n">
        <v>4</v>
      </c>
      <c r="H39" s="9" t="n">
        <v>5</v>
      </c>
      <c r="I39" s="13" t="s">
        <v>59</v>
      </c>
      <c r="J39" s="13" t="s">
        <v>84</v>
      </c>
      <c r="K39" s="5" t="s">
        <v>141</v>
      </c>
    </row>
    <row r="40" customFormat="false" ht="15" hidden="false" customHeight="false" outlineLevel="0" collapsed="false">
      <c r="A40" s="5" t="s">
        <v>44</v>
      </c>
      <c r="B40" s="5" t="s">
        <v>142</v>
      </c>
      <c r="C40" s="9" t="n">
        <v>5</v>
      </c>
      <c r="D40" s="9" t="n">
        <v>5</v>
      </c>
      <c r="E40" s="9" t="n">
        <v>1</v>
      </c>
      <c r="F40" s="9" t="n">
        <v>4</v>
      </c>
      <c r="G40" s="9" t="n">
        <v>4</v>
      </c>
      <c r="H40" s="9" t="n">
        <v>5</v>
      </c>
      <c r="I40" s="13" t="s">
        <v>59</v>
      </c>
      <c r="J40" s="13" t="s">
        <v>84</v>
      </c>
      <c r="K40" s="5" t="s">
        <v>143</v>
      </c>
    </row>
    <row r="41" customFormat="false" ht="15" hidden="false" customHeight="false" outlineLevel="0" collapsed="false">
      <c r="A41" s="5" t="s">
        <v>44</v>
      </c>
      <c r="B41" s="5" t="s">
        <v>144</v>
      </c>
      <c r="C41" s="9" t="n">
        <v>3</v>
      </c>
      <c r="D41" s="9" t="n">
        <v>0</v>
      </c>
      <c r="E41" s="9" t="n">
        <v>0</v>
      </c>
      <c r="F41" s="9" t="n">
        <v>3</v>
      </c>
      <c r="G41" s="9" t="n">
        <v>2</v>
      </c>
      <c r="H41" s="9" t="n">
        <v>3</v>
      </c>
      <c r="I41" s="13" t="s">
        <v>73</v>
      </c>
      <c r="J41" s="13" t="s">
        <v>60</v>
      </c>
      <c r="K41" s="5" t="s">
        <v>145</v>
      </c>
    </row>
    <row r="42" customFormat="false" ht="15" hidden="false" customHeight="false" outlineLevel="0" collapsed="false">
      <c r="A42" s="5" t="s">
        <v>44</v>
      </c>
      <c r="B42" s="5" t="s">
        <v>146</v>
      </c>
      <c r="C42" s="9" t="n">
        <v>3</v>
      </c>
      <c r="D42" s="9" t="n">
        <v>0</v>
      </c>
      <c r="E42" s="9" t="n">
        <v>0</v>
      </c>
      <c r="F42" s="9" t="n">
        <v>3</v>
      </c>
      <c r="G42" s="9" t="n">
        <v>2</v>
      </c>
      <c r="H42" s="9" t="n">
        <v>3</v>
      </c>
      <c r="I42" s="13" t="s">
        <v>73</v>
      </c>
      <c r="J42" s="13" t="s">
        <v>60</v>
      </c>
      <c r="K42" s="5" t="s">
        <v>147</v>
      </c>
    </row>
    <row r="43" customFormat="false" ht="15" hidden="false" customHeight="false" outlineLevel="0" collapsed="false">
      <c r="A43" s="5" t="s">
        <v>44</v>
      </c>
      <c r="B43" s="5" t="s">
        <v>148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0</v>
      </c>
      <c r="H43" s="9" t="n">
        <v>4</v>
      </c>
      <c r="I43" s="13" t="s">
        <v>59</v>
      </c>
      <c r="J43" s="13" t="s">
        <v>60</v>
      </c>
      <c r="K43" s="5" t="s">
        <v>149</v>
      </c>
    </row>
    <row r="44" customFormat="false" ht="15" hidden="false" customHeight="false" outlineLevel="0" collapsed="false">
      <c r="A44" s="5" t="s">
        <v>44</v>
      </c>
      <c r="B44" s="5" t="s">
        <v>150</v>
      </c>
      <c r="C44" s="9" t="n">
        <v>3</v>
      </c>
      <c r="D44" s="9" t="n">
        <v>2</v>
      </c>
      <c r="E44" s="9" t="n">
        <v>3</v>
      </c>
      <c r="F44" s="9" t="n">
        <v>2</v>
      </c>
      <c r="G44" s="9" t="n">
        <v>1</v>
      </c>
      <c r="H44" s="9" t="n">
        <v>4</v>
      </c>
      <c r="I44" s="13" t="s">
        <v>68</v>
      </c>
      <c r="J44" s="13" t="s">
        <v>63</v>
      </c>
      <c r="K44" s="5" t="s">
        <v>151</v>
      </c>
    </row>
    <row r="45" customFormat="false" ht="15" hidden="false" customHeight="false" outlineLevel="0" collapsed="false">
      <c r="A45" s="5" t="s">
        <v>45</v>
      </c>
      <c r="B45" s="5" t="s">
        <v>152</v>
      </c>
      <c r="C45" s="9" t="n">
        <v>1</v>
      </c>
      <c r="D45" s="9" t="n">
        <v>1</v>
      </c>
      <c r="E45" s="9" t="n">
        <v>2</v>
      </c>
      <c r="F45" s="9" t="n">
        <v>0</v>
      </c>
      <c r="G45" s="9" t="n">
        <v>5</v>
      </c>
      <c r="H45" s="9" t="n">
        <v>5</v>
      </c>
      <c r="I45" s="13" t="s">
        <v>59</v>
      </c>
      <c r="J45" s="13" t="s">
        <v>84</v>
      </c>
      <c r="K45" s="5" t="s">
        <v>153</v>
      </c>
    </row>
    <row r="46" customFormat="false" ht="15" hidden="false" customHeight="false" outlineLevel="0" collapsed="false">
      <c r="A46" s="5" t="s">
        <v>45</v>
      </c>
      <c r="B46" s="5" t="s">
        <v>154</v>
      </c>
      <c r="C46" s="9" t="n">
        <v>1</v>
      </c>
      <c r="D46" s="9" t="n">
        <v>3</v>
      </c>
      <c r="E46" s="9" t="n">
        <v>4</v>
      </c>
      <c r="F46" s="9" t="n">
        <v>1</v>
      </c>
      <c r="G46" s="9" t="n">
        <v>5</v>
      </c>
      <c r="H46" s="9" t="n">
        <v>5</v>
      </c>
      <c r="I46" s="13" t="s">
        <v>59</v>
      </c>
      <c r="J46" s="13" t="s">
        <v>84</v>
      </c>
      <c r="K46" s="5" t="s">
        <v>155</v>
      </c>
    </row>
    <row r="47" customFormat="false" ht="15" hidden="false" customHeight="false" outlineLevel="0" collapsed="false">
      <c r="A47" s="5" t="s">
        <v>45</v>
      </c>
      <c r="B47" s="5" t="s">
        <v>156</v>
      </c>
      <c r="C47" s="9" t="n">
        <v>2</v>
      </c>
      <c r="D47" s="9" t="n">
        <v>0</v>
      </c>
      <c r="E47" s="9" t="n">
        <v>1</v>
      </c>
      <c r="F47" s="9" t="n">
        <v>2</v>
      </c>
      <c r="G47" s="9" t="n">
        <v>3</v>
      </c>
      <c r="H47" s="9" t="n">
        <v>5</v>
      </c>
      <c r="I47" s="13" t="s">
        <v>59</v>
      </c>
      <c r="J47" s="13" t="s">
        <v>63</v>
      </c>
      <c r="K47" s="5" t="s">
        <v>157</v>
      </c>
    </row>
    <row r="48" customFormat="false" ht="15" hidden="false" customHeight="false" outlineLevel="0" collapsed="false">
      <c r="A48" s="5" t="s">
        <v>45</v>
      </c>
      <c r="B48" s="5" t="s">
        <v>158</v>
      </c>
      <c r="C48" s="9" t="n">
        <v>3</v>
      </c>
      <c r="D48" s="9" t="n">
        <v>3</v>
      </c>
      <c r="E48" s="9" t="n">
        <v>2</v>
      </c>
      <c r="F48" s="9" t="n">
        <v>2</v>
      </c>
      <c r="G48" s="9" t="n">
        <v>2</v>
      </c>
      <c r="H48" s="9" t="n">
        <v>4</v>
      </c>
      <c r="I48" s="13" t="s">
        <v>59</v>
      </c>
      <c r="J48" s="13" t="s">
        <v>63</v>
      </c>
      <c r="K48" s="5" t="s">
        <v>159</v>
      </c>
    </row>
    <row r="49" customFormat="false" ht="15" hidden="false" customHeight="false" outlineLevel="0" collapsed="false">
      <c r="A49" s="5" t="s">
        <v>45</v>
      </c>
      <c r="B49" s="5" t="s">
        <v>160</v>
      </c>
      <c r="C49" s="9" t="n">
        <v>4</v>
      </c>
      <c r="D49" s="9" t="n">
        <v>4</v>
      </c>
      <c r="E49" s="9" t="n">
        <v>4</v>
      </c>
      <c r="F49" s="9" t="n">
        <v>2</v>
      </c>
      <c r="G49" s="9" t="n">
        <v>5</v>
      </c>
      <c r="H49" s="9" t="n">
        <v>5</v>
      </c>
      <c r="I49" s="13" t="s">
        <v>59</v>
      </c>
      <c r="J49" s="13" t="s">
        <v>125</v>
      </c>
      <c r="K49" s="5" t="s">
        <v>161</v>
      </c>
    </row>
    <row r="50" customFormat="false" ht="15" hidden="false" customHeight="false" outlineLevel="0" collapsed="false">
      <c r="A50" s="14" t="s">
        <v>46</v>
      </c>
      <c r="B50" s="5" t="s">
        <v>162</v>
      </c>
      <c r="C50" s="9" t="n">
        <v>0</v>
      </c>
      <c r="D50" s="9" t="n">
        <v>0</v>
      </c>
      <c r="E50" s="9" t="n">
        <v>0</v>
      </c>
      <c r="F50" s="9" t="n">
        <v>1</v>
      </c>
      <c r="G50" s="9" t="n">
        <v>3</v>
      </c>
      <c r="H50" s="9" t="n">
        <v>5</v>
      </c>
      <c r="I50" s="13" t="s">
        <v>59</v>
      </c>
      <c r="J50" s="13" t="s">
        <v>63</v>
      </c>
      <c r="K50" s="5" t="s">
        <v>163</v>
      </c>
    </row>
    <row r="51" customFormat="false" ht="15" hidden="false" customHeight="false" outlineLevel="0" collapsed="false">
      <c r="A51" s="14" t="s">
        <v>46</v>
      </c>
      <c r="B51" s="5" t="s">
        <v>164</v>
      </c>
      <c r="C51" s="9" t="n">
        <v>0</v>
      </c>
      <c r="D51" s="9" t="n">
        <v>0</v>
      </c>
      <c r="E51" s="9" t="n">
        <v>1</v>
      </c>
      <c r="F51" s="9" t="n">
        <v>0</v>
      </c>
      <c r="G51" s="9" t="n">
        <v>0</v>
      </c>
      <c r="H51" s="9" t="n">
        <v>5</v>
      </c>
      <c r="I51" s="13" t="s">
        <v>59</v>
      </c>
      <c r="J51" s="13" t="s">
        <v>60</v>
      </c>
      <c r="K51" s="5" t="s">
        <v>165</v>
      </c>
    </row>
    <row r="52" customFormat="false" ht="15" hidden="false" customHeight="false" outlineLevel="0" collapsed="false">
      <c r="A52" s="14" t="s">
        <v>46</v>
      </c>
      <c r="B52" s="5" t="s">
        <v>166</v>
      </c>
      <c r="C52" s="9" t="n">
        <v>1</v>
      </c>
      <c r="D52" s="9" t="n">
        <v>0</v>
      </c>
      <c r="E52" s="9" t="n">
        <v>0</v>
      </c>
      <c r="F52" s="9" t="n">
        <v>1</v>
      </c>
      <c r="G52" s="9" t="n">
        <v>2</v>
      </c>
      <c r="H52" s="9" t="n">
        <v>4</v>
      </c>
      <c r="I52" s="13" t="s">
        <v>68</v>
      </c>
      <c r="J52" s="13" t="s">
        <v>63</v>
      </c>
      <c r="K52" s="5" t="s">
        <v>167</v>
      </c>
    </row>
  </sheetData>
  <conditionalFormatting sqref="C2:H52">
    <cfRule type="colorScale" priority="2">
      <colorScale>
        <cfvo type="num" val="0"/>
        <cfvo type="num" val="2.5"/>
        <cfvo type="num" val="5"/>
        <color rgb="FFFCA5A5"/>
        <color rgb="FFFEF3C7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35"/>
    <col collapsed="false" customWidth="true" hidden="false" outlineLevel="0" max="7" min="7" style="0" width="11"/>
  </cols>
  <sheetData>
    <row r="1" customFormat="false" ht="22.05" hidden="false" customHeight="false" outlineLevel="0" collapsed="false">
      <c r="A1" s="1" t="s">
        <v>168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169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7" t="s">
        <v>170</v>
      </c>
      <c r="B4" s="7" t="s">
        <v>34</v>
      </c>
      <c r="C4" s="7" t="s">
        <v>171</v>
      </c>
      <c r="D4" s="7" t="s">
        <v>172</v>
      </c>
      <c r="E4" s="7" t="s">
        <v>173</v>
      </c>
      <c r="F4" s="7" t="s">
        <v>174</v>
      </c>
      <c r="G4" s="7" t="s">
        <v>55</v>
      </c>
    </row>
    <row r="5" customFormat="false" ht="23.85" hidden="false" customHeight="false" outlineLevel="0" collapsed="false">
      <c r="A5" s="5" t="s">
        <v>175</v>
      </c>
      <c r="B5" s="5" t="s">
        <v>176</v>
      </c>
      <c r="C5" s="5" t="s">
        <v>177</v>
      </c>
      <c r="D5" s="5" t="s">
        <v>178</v>
      </c>
      <c r="E5" s="5" t="s">
        <v>179</v>
      </c>
      <c r="F5" s="5" t="s">
        <v>180</v>
      </c>
      <c r="G5" s="5" t="s">
        <v>59</v>
      </c>
    </row>
    <row r="6" customFormat="false" ht="23.85" hidden="false" customHeight="false" outlineLevel="0" collapsed="false">
      <c r="A6" s="5" t="s">
        <v>181</v>
      </c>
      <c r="B6" s="5" t="s">
        <v>176</v>
      </c>
      <c r="C6" s="5" t="s">
        <v>182</v>
      </c>
      <c r="D6" s="5" t="s">
        <v>183</v>
      </c>
      <c r="E6" s="5" t="s">
        <v>184</v>
      </c>
      <c r="F6" s="5" t="s">
        <v>185</v>
      </c>
      <c r="G6" s="5" t="s">
        <v>59</v>
      </c>
    </row>
    <row r="7" customFormat="false" ht="15" hidden="false" customHeight="false" outlineLevel="0" collapsed="false">
      <c r="A7" s="5" t="s">
        <v>186</v>
      </c>
      <c r="B7" s="5" t="s">
        <v>187</v>
      </c>
      <c r="C7" s="5" t="s">
        <v>188</v>
      </c>
      <c r="D7" s="5" t="s">
        <v>178</v>
      </c>
      <c r="E7" s="5" t="s">
        <v>189</v>
      </c>
      <c r="F7" s="5" t="s">
        <v>190</v>
      </c>
      <c r="G7" s="5" t="s">
        <v>73</v>
      </c>
    </row>
    <row r="8" customFormat="false" ht="15" hidden="false" customHeight="false" outlineLevel="0" collapsed="false">
      <c r="A8" s="5" t="s">
        <v>191</v>
      </c>
      <c r="B8" s="5" t="s">
        <v>187</v>
      </c>
      <c r="C8" s="5" t="s">
        <v>192</v>
      </c>
      <c r="D8" s="5" t="s">
        <v>178</v>
      </c>
      <c r="E8" s="5" t="s">
        <v>193</v>
      </c>
      <c r="F8" s="5" t="s">
        <v>194</v>
      </c>
      <c r="G8" s="5" t="s">
        <v>73</v>
      </c>
    </row>
    <row r="9" customFormat="false" ht="23.85" hidden="false" customHeight="false" outlineLevel="0" collapsed="false">
      <c r="A9" s="5" t="s">
        <v>195</v>
      </c>
      <c r="B9" s="5" t="s">
        <v>196</v>
      </c>
      <c r="C9" s="5" t="s">
        <v>197</v>
      </c>
      <c r="D9" s="5" t="s">
        <v>198</v>
      </c>
      <c r="E9" s="5" t="s">
        <v>199</v>
      </c>
      <c r="F9" s="5" t="s">
        <v>200</v>
      </c>
      <c r="G9" s="5" t="s">
        <v>59</v>
      </c>
    </row>
    <row r="10" customFormat="false" ht="23.85" hidden="false" customHeight="false" outlineLevel="0" collapsed="false">
      <c r="A10" s="5" t="s">
        <v>201</v>
      </c>
      <c r="B10" s="5" t="s">
        <v>196</v>
      </c>
      <c r="C10" s="5" t="s">
        <v>202</v>
      </c>
      <c r="D10" s="5" t="s">
        <v>203</v>
      </c>
      <c r="E10" s="5" t="s">
        <v>125</v>
      </c>
      <c r="F10" s="5" t="s">
        <v>204</v>
      </c>
      <c r="G10" s="5" t="s">
        <v>73</v>
      </c>
    </row>
    <row r="11" customFormat="false" ht="15" hidden="false" customHeight="false" outlineLevel="0" collapsed="false">
      <c r="A11" s="5" t="s">
        <v>205</v>
      </c>
      <c r="B11" s="5" t="s">
        <v>206</v>
      </c>
      <c r="C11" s="5" t="s">
        <v>207</v>
      </c>
      <c r="D11" s="5" t="s">
        <v>178</v>
      </c>
      <c r="E11" s="5" t="s">
        <v>208</v>
      </c>
      <c r="F11" s="5" t="s">
        <v>209</v>
      </c>
      <c r="G11" s="5" t="s">
        <v>68</v>
      </c>
    </row>
    <row r="12" customFormat="false" ht="15" hidden="false" customHeight="false" outlineLevel="0" collapsed="false">
      <c r="A12" s="5" t="s">
        <v>210</v>
      </c>
      <c r="B12" s="5" t="s">
        <v>211</v>
      </c>
      <c r="C12" s="5" t="s">
        <v>212</v>
      </c>
      <c r="D12" s="5" t="s">
        <v>213</v>
      </c>
      <c r="E12" s="5" t="s">
        <v>125</v>
      </c>
      <c r="F12" s="5" t="s">
        <v>214</v>
      </c>
      <c r="G12" s="5" t="s">
        <v>73</v>
      </c>
    </row>
    <row r="13" customFormat="false" ht="23.85" hidden="false" customHeight="false" outlineLevel="0" collapsed="false">
      <c r="A13" s="5" t="s">
        <v>215</v>
      </c>
      <c r="B13" s="5" t="s">
        <v>216</v>
      </c>
      <c r="C13" s="5" t="s">
        <v>217</v>
      </c>
      <c r="D13" s="5" t="s">
        <v>218</v>
      </c>
      <c r="E13" s="5" t="s">
        <v>219</v>
      </c>
      <c r="F13" s="5" t="s">
        <v>220</v>
      </c>
      <c r="G13" s="5" t="s">
        <v>68</v>
      </c>
    </row>
    <row r="14" customFormat="false" ht="23.85" hidden="false" customHeight="false" outlineLevel="0" collapsed="false">
      <c r="A14" s="5" t="s">
        <v>221</v>
      </c>
      <c r="B14" s="5" t="s">
        <v>222</v>
      </c>
      <c r="C14" s="5" t="s">
        <v>223</v>
      </c>
      <c r="D14" s="5" t="s">
        <v>224</v>
      </c>
      <c r="E14" s="5" t="s">
        <v>225</v>
      </c>
      <c r="F14" s="5" t="s">
        <v>226</v>
      </c>
      <c r="G14" s="5" t="s">
        <v>59</v>
      </c>
    </row>
    <row r="15" customFormat="false" ht="23.85" hidden="false" customHeight="false" outlineLevel="0" collapsed="false">
      <c r="A15" s="5" t="s">
        <v>227</v>
      </c>
      <c r="B15" s="5" t="s">
        <v>228</v>
      </c>
      <c r="C15" s="5" t="s">
        <v>229</v>
      </c>
      <c r="D15" s="5" t="s">
        <v>224</v>
      </c>
      <c r="E15" s="5" t="s">
        <v>230</v>
      </c>
      <c r="F15" s="5" t="s">
        <v>231</v>
      </c>
      <c r="G15" s="5" t="s">
        <v>59</v>
      </c>
    </row>
    <row r="16" customFormat="false" ht="23.85" hidden="false" customHeight="false" outlineLevel="0" collapsed="false">
      <c r="A16" s="5" t="s">
        <v>232</v>
      </c>
      <c r="B16" s="5" t="s">
        <v>233</v>
      </c>
      <c r="C16" s="5" t="s">
        <v>234</v>
      </c>
      <c r="D16" s="5" t="s">
        <v>218</v>
      </c>
      <c r="E16" s="5" t="s">
        <v>235</v>
      </c>
      <c r="F16" s="5" t="s">
        <v>151</v>
      </c>
      <c r="G16" s="5" t="s">
        <v>68</v>
      </c>
    </row>
    <row r="17" customFormat="false" ht="23.85" hidden="false" customHeight="false" outlineLevel="0" collapsed="false">
      <c r="A17" s="5" t="s">
        <v>236</v>
      </c>
      <c r="B17" s="5" t="s">
        <v>237</v>
      </c>
      <c r="C17" s="5" t="s">
        <v>238</v>
      </c>
      <c r="D17" s="5" t="s">
        <v>239</v>
      </c>
      <c r="E17" s="5" t="s">
        <v>240</v>
      </c>
      <c r="F17" s="5" t="s">
        <v>241</v>
      </c>
      <c r="G17" s="5" t="s">
        <v>68</v>
      </c>
    </row>
    <row r="18" customFormat="false" ht="15" hidden="false" customHeight="false" outlineLevel="0" collapsed="false">
      <c r="A18" s="5" t="s">
        <v>242</v>
      </c>
      <c r="B18" s="5" t="s">
        <v>243</v>
      </c>
      <c r="C18" s="5" t="s">
        <v>244</v>
      </c>
      <c r="D18" s="5" t="s">
        <v>213</v>
      </c>
      <c r="E18" s="5" t="s">
        <v>125</v>
      </c>
      <c r="F18" s="5" t="s">
        <v>245</v>
      </c>
      <c r="G18" s="5" t="s">
        <v>73</v>
      </c>
    </row>
    <row r="19" customFormat="false" ht="15" hidden="false" customHeight="false" outlineLevel="0" collapsed="false">
      <c r="A19" s="5" t="s">
        <v>246</v>
      </c>
      <c r="B19" s="5" t="s">
        <v>247</v>
      </c>
      <c r="C19" s="5" t="s">
        <v>248</v>
      </c>
      <c r="D19" s="5" t="s">
        <v>213</v>
      </c>
      <c r="E19" s="5" t="s">
        <v>125</v>
      </c>
      <c r="F19" s="5" t="s">
        <v>249</v>
      </c>
      <c r="G19" s="5" t="s">
        <v>68</v>
      </c>
    </row>
    <row r="20" customFormat="false" ht="15" hidden="false" customHeight="false" outlineLevel="0" collapsed="false">
      <c r="A20" s="5" t="s">
        <v>250</v>
      </c>
      <c r="B20" s="5" t="s">
        <v>251</v>
      </c>
      <c r="C20" s="5" t="s">
        <v>252</v>
      </c>
      <c r="D20" s="5" t="s">
        <v>178</v>
      </c>
      <c r="E20" s="5" t="s">
        <v>253</v>
      </c>
      <c r="F20" s="5" t="s">
        <v>254</v>
      </c>
      <c r="G20" s="5" t="s">
        <v>59</v>
      </c>
    </row>
    <row r="21" customFormat="false" ht="15" hidden="false" customHeight="false" outlineLevel="0" collapsed="false">
      <c r="A21" s="5" t="s">
        <v>255</v>
      </c>
      <c r="B21" s="5" t="s">
        <v>256</v>
      </c>
      <c r="C21" s="5" t="s">
        <v>257</v>
      </c>
      <c r="D21" s="5" t="s">
        <v>125</v>
      </c>
      <c r="E21" s="5" t="s">
        <v>125</v>
      </c>
      <c r="F21" s="5" t="s">
        <v>125</v>
      </c>
      <c r="G21" s="5" t="s">
        <v>125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22.05" hidden="false" customHeight="false" outlineLevel="0" collapsed="false">
      <c r="A1" s="1" t="s">
        <v>258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259</v>
      </c>
      <c r="B2" s="2"/>
      <c r="C2" s="2"/>
      <c r="D2" s="2"/>
      <c r="E2" s="2"/>
      <c r="F2" s="2"/>
      <c r="G2" s="2"/>
    </row>
    <row r="4" customFormat="false" ht="39.55" hidden="false" customHeight="false" outlineLevel="0" collapsed="false">
      <c r="A4" s="7" t="s">
        <v>260</v>
      </c>
      <c r="B4" s="7" t="s">
        <v>174</v>
      </c>
      <c r="C4" s="7" t="s">
        <v>34</v>
      </c>
      <c r="D4" s="7" t="s">
        <v>261</v>
      </c>
      <c r="E4" s="7" t="s">
        <v>262</v>
      </c>
      <c r="F4" s="7" t="s">
        <v>263</v>
      </c>
      <c r="G4" s="7" t="s">
        <v>264</v>
      </c>
    </row>
    <row r="5" customFormat="false" ht="15" hidden="false" customHeight="false" outlineLevel="0" collapsed="false">
      <c r="A5" s="9" t="n">
        <v>1</v>
      </c>
      <c r="B5" s="5" t="s">
        <v>265</v>
      </c>
      <c r="C5" s="9" t="s">
        <v>39</v>
      </c>
      <c r="D5" s="9" t="n">
        <v>5</v>
      </c>
      <c r="E5" s="9" t="n">
        <v>5</v>
      </c>
      <c r="F5" s="9" t="n">
        <v>2</v>
      </c>
      <c r="G5" s="9" t="n">
        <f aca="false">ROUND((D5*E5)/F5,2)</f>
        <v>12.5</v>
      </c>
    </row>
    <row r="6" customFormat="false" ht="15" hidden="false" customHeight="false" outlineLevel="0" collapsed="false">
      <c r="A6" s="9" t="n">
        <v>2</v>
      </c>
      <c r="B6" s="5" t="s">
        <v>266</v>
      </c>
      <c r="C6" s="9" t="s">
        <v>40</v>
      </c>
      <c r="D6" s="9" t="n">
        <v>4</v>
      </c>
      <c r="E6" s="9" t="n">
        <v>3</v>
      </c>
      <c r="F6" s="9" t="n">
        <v>1</v>
      </c>
      <c r="G6" s="9" t="n">
        <f aca="false">ROUND((D6*E6)/F6,2)</f>
        <v>12</v>
      </c>
    </row>
    <row r="7" customFormat="false" ht="15" hidden="false" customHeight="false" outlineLevel="0" collapsed="false">
      <c r="A7" s="9" t="n">
        <v>3</v>
      </c>
      <c r="B7" s="5" t="s">
        <v>267</v>
      </c>
      <c r="C7" s="9" t="s">
        <v>45</v>
      </c>
      <c r="D7" s="9" t="n">
        <v>5</v>
      </c>
      <c r="E7" s="9" t="n">
        <v>5</v>
      </c>
      <c r="F7" s="9" t="n">
        <v>1</v>
      </c>
      <c r="G7" s="9" t="n">
        <f aca="false">ROUND((D7*E7)/F7,2)</f>
        <v>25</v>
      </c>
    </row>
    <row r="8" customFormat="false" ht="15" hidden="false" customHeight="false" outlineLevel="0" collapsed="false">
      <c r="A8" s="9" t="n">
        <v>4</v>
      </c>
      <c r="B8" s="5" t="s">
        <v>268</v>
      </c>
      <c r="C8" s="9" t="s">
        <v>45</v>
      </c>
      <c r="D8" s="9" t="n">
        <v>4</v>
      </c>
      <c r="E8" s="9" t="n">
        <v>5</v>
      </c>
      <c r="F8" s="9" t="n">
        <v>1</v>
      </c>
      <c r="G8" s="9" t="n">
        <f aca="false">ROUND((D8*E8)/F8,2)</f>
        <v>20</v>
      </c>
    </row>
    <row r="9" customFormat="false" ht="15" hidden="false" customHeight="false" outlineLevel="0" collapsed="false">
      <c r="A9" s="9" t="n">
        <v>5</v>
      </c>
      <c r="B9" s="5" t="s">
        <v>269</v>
      </c>
      <c r="C9" s="15" t="s">
        <v>46</v>
      </c>
      <c r="D9" s="9" t="n">
        <v>5</v>
      </c>
      <c r="E9" s="9" t="n">
        <v>5</v>
      </c>
      <c r="F9" s="9" t="n">
        <v>4</v>
      </c>
      <c r="G9" s="9" t="n">
        <f aca="false">ROUND((D9*E9)/F9,2)</f>
        <v>6.25</v>
      </c>
    </row>
    <row r="10" customFormat="false" ht="15" hidden="false" customHeight="false" outlineLevel="0" collapsed="false">
      <c r="A10" s="9" t="n">
        <v>6</v>
      </c>
      <c r="B10" s="5" t="s">
        <v>270</v>
      </c>
      <c r="C10" s="9" t="s">
        <v>39</v>
      </c>
      <c r="D10" s="9" t="n">
        <v>5</v>
      </c>
      <c r="E10" s="9" t="n">
        <v>3</v>
      </c>
      <c r="F10" s="9" t="n">
        <v>4</v>
      </c>
      <c r="G10" s="9" t="n">
        <f aca="false">ROUND((D10*E10)/F10,2)</f>
        <v>3.75</v>
      </c>
    </row>
    <row r="11" customFormat="false" ht="15" hidden="false" customHeight="false" outlineLevel="0" collapsed="false">
      <c r="A11" s="9" t="n">
        <v>7</v>
      </c>
      <c r="B11" s="5" t="s">
        <v>271</v>
      </c>
      <c r="C11" s="9" t="s">
        <v>37</v>
      </c>
      <c r="D11" s="9" t="n">
        <v>4</v>
      </c>
      <c r="E11" s="9" t="n">
        <v>3</v>
      </c>
      <c r="F11" s="9" t="n">
        <v>5</v>
      </c>
      <c r="G11" s="9" t="n">
        <f aca="false">ROUND((D11*E11)/F11,2)</f>
        <v>2.4</v>
      </c>
    </row>
    <row r="12" customFormat="false" ht="15" hidden="false" customHeight="false" outlineLevel="0" collapsed="false">
      <c r="A12" s="9" t="n">
        <v>8</v>
      </c>
      <c r="B12" s="5" t="s">
        <v>272</v>
      </c>
      <c r="C12" s="9" t="s">
        <v>41</v>
      </c>
      <c r="D12" s="9" t="n">
        <v>5</v>
      </c>
      <c r="E12" s="9" t="n">
        <v>2</v>
      </c>
      <c r="F12" s="9" t="n">
        <v>5</v>
      </c>
      <c r="G12" s="9" t="n">
        <f aca="false">ROUND((D12*E12)/F12,2)</f>
        <v>2</v>
      </c>
    </row>
    <row r="13" customFormat="false" ht="15" hidden="false" customHeight="false" outlineLevel="0" collapsed="false">
      <c r="A13" s="9" t="n">
        <v>9</v>
      </c>
      <c r="B13" s="5" t="s">
        <v>273</v>
      </c>
      <c r="C13" s="9" t="s">
        <v>38</v>
      </c>
      <c r="D13" s="9" t="n">
        <v>4</v>
      </c>
      <c r="E13" s="9" t="n">
        <v>3</v>
      </c>
      <c r="F13" s="9" t="n">
        <v>4</v>
      </c>
      <c r="G13" s="9" t="n">
        <f aca="false">ROUND((D13*E13)/F13,2)</f>
        <v>3</v>
      </c>
    </row>
    <row r="14" customFormat="false" ht="15" hidden="false" customHeight="false" outlineLevel="0" collapsed="false">
      <c r="A14" s="9" t="n">
        <v>10</v>
      </c>
      <c r="B14" s="5" t="s">
        <v>274</v>
      </c>
      <c r="C14" s="9" t="s">
        <v>38</v>
      </c>
      <c r="D14" s="9" t="n">
        <v>4</v>
      </c>
      <c r="E14" s="9" t="n">
        <v>4</v>
      </c>
      <c r="F14" s="9" t="n">
        <v>3</v>
      </c>
      <c r="G14" s="9" t="n">
        <f aca="false">ROUND((D14*E14)/F14,2)</f>
        <v>5.33</v>
      </c>
    </row>
    <row r="15" customFormat="false" ht="15" hidden="false" customHeight="false" outlineLevel="0" collapsed="false">
      <c r="A15" s="9" t="n">
        <v>11</v>
      </c>
      <c r="B15" s="5" t="s">
        <v>275</v>
      </c>
      <c r="C15" s="9" t="s">
        <v>37</v>
      </c>
      <c r="D15" s="9" t="n">
        <v>4</v>
      </c>
      <c r="E15" s="9" t="n">
        <v>4</v>
      </c>
      <c r="F15" s="9" t="n">
        <v>3</v>
      </c>
      <c r="G15" s="9" t="n">
        <f aca="false">ROUND((D15*E15)/F15,2)</f>
        <v>5.33</v>
      </c>
    </row>
    <row r="16" customFormat="false" ht="15" hidden="false" customHeight="false" outlineLevel="0" collapsed="false">
      <c r="A16" s="9" t="n">
        <v>12</v>
      </c>
      <c r="B16" s="5" t="s">
        <v>276</v>
      </c>
      <c r="C16" s="9" t="s">
        <v>44</v>
      </c>
      <c r="D16" s="9" t="n">
        <v>5</v>
      </c>
      <c r="E16" s="9" t="n">
        <v>4</v>
      </c>
      <c r="F16" s="9" t="n">
        <v>3</v>
      </c>
      <c r="G16" s="9" t="n">
        <f aca="false">ROUND((D16*E16)/F16,2)</f>
        <v>6.67</v>
      </c>
    </row>
    <row r="17" customFormat="false" ht="15" hidden="false" customHeight="false" outlineLevel="0" collapsed="false">
      <c r="A17" s="9" t="n">
        <v>13</v>
      </c>
      <c r="B17" s="5" t="s">
        <v>277</v>
      </c>
      <c r="C17" s="9" t="s">
        <v>44</v>
      </c>
      <c r="D17" s="9" t="n">
        <v>3</v>
      </c>
      <c r="E17" s="9" t="n">
        <v>3</v>
      </c>
      <c r="F17" s="9" t="n">
        <v>2</v>
      </c>
      <c r="G17" s="9" t="n">
        <f aca="false">ROUND((D17*E17)/F17,2)</f>
        <v>4.5</v>
      </c>
    </row>
    <row r="18" customFormat="false" ht="15" hidden="false" customHeight="false" outlineLevel="0" collapsed="false">
      <c r="A18" s="9" t="n">
        <v>14</v>
      </c>
      <c r="B18" s="5" t="s">
        <v>278</v>
      </c>
      <c r="C18" s="9" t="s">
        <v>39</v>
      </c>
      <c r="D18" s="9" t="n">
        <v>4</v>
      </c>
      <c r="E18" s="9" t="n">
        <v>3</v>
      </c>
      <c r="F18" s="9" t="n">
        <v>3</v>
      </c>
      <c r="G18" s="9" t="n">
        <f aca="false">ROUND((D18*E18)/F18,2)</f>
        <v>4</v>
      </c>
    </row>
    <row r="19" customFormat="false" ht="15" hidden="false" customHeight="false" outlineLevel="0" collapsed="false">
      <c r="A19" s="9" t="n">
        <v>15</v>
      </c>
      <c r="B19" s="5" t="s">
        <v>279</v>
      </c>
      <c r="C19" s="9" t="s">
        <v>40</v>
      </c>
      <c r="D19" s="9" t="n">
        <v>3</v>
      </c>
      <c r="E19" s="9" t="n">
        <v>3</v>
      </c>
      <c r="F19" s="9" t="n">
        <v>2</v>
      </c>
      <c r="G19" s="9" t="n">
        <f aca="false">ROUND((D19*E19)/F19,2)</f>
        <v>4.5</v>
      </c>
    </row>
    <row r="20" customFormat="false" ht="15" hidden="false" customHeight="false" outlineLevel="0" collapsed="false">
      <c r="A20" s="9" t="n">
        <v>16</v>
      </c>
      <c r="B20" s="5" t="s">
        <v>280</v>
      </c>
      <c r="C20" s="9" t="s">
        <v>40</v>
      </c>
      <c r="D20" s="9" t="n">
        <v>4</v>
      </c>
      <c r="E20" s="9" t="n">
        <v>3</v>
      </c>
      <c r="F20" s="9" t="n">
        <v>2</v>
      </c>
      <c r="G20" s="9" t="n">
        <f aca="false">ROUND((D20*E20)/F20,2)</f>
        <v>6</v>
      </c>
    </row>
    <row r="21" customFormat="false" ht="15" hidden="false" customHeight="false" outlineLevel="0" collapsed="false">
      <c r="A21" s="9" t="n">
        <v>17</v>
      </c>
      <c r="B21" s="5" t="s">
        <v>281</v>
      </c>
      <c r="C21" s="9" t="s">
        <v>41</v>
      </c>
      <c r="D21" s="9" t="n">
        <v>4</v>
      </c>
      <c r="E21" s="9" t="n">
        <v>2</v>
      </c>
      <c r="F21" s="9" t="n">
        <v>3</v>
      </c>
      <c r="G21" s="9" t="n">
        <f aca="false">ROUND((D21*E21)/F21,2)</f>
        <v>2.67</v>
      </c>
    </row>
    <row r="22" customFormat="false" ht="15" hidden="false" customHeight="false" outlineLevel="0" collapsed="false">
      <c r="A22" s="9" t="n">
        <v>18</v>
      </c>
      <c r="B22" s="5" t="s">
        <v>282</v>
      </c>
      <c r="C22" s="9" t="s">
        <v>41</v>
      </c>
      <c r="D22" s="9" t="n">
        <v>4</v>
      </c>
      <c r="E22" s="9" t="n">
        <v>4</v>
      </c>
      <c r="F22" s="9" t="n">
        <v>4</v>
      </c>
      <c r="G22" s="9" t="n">
        <f aca="false">ROUND((D22*E22)/F22,2)</f>
        <v>4</v>
      </c>
    </row>
    <row r="23" customFormat="false" ht="15" hidden="false" customHeight="false" outlineLevel="0" collapsed="false">
      <c r="A23" s="9" t="n">
        <v>19</v>
      </c>
      <c r="B23" s="5" t="s">
        <v>283</v>
      </c>
      <c r="C23" s="15" t="s">
        <v>46</v>
      </c>
      <c r="D23" s="9" t="n">
        <v>5</v>
      </c>
      <c r="E23" s="9" t="n">
        <v>4</v>
      </c>
      <c r="F23" s="9" t="n">
        <v>2</v>
      </c>
      <c r="G23" s="9" t="n">
        <f aca="false">ROUND((D23*E23)/F23,2)</f>
        <v>10</v>
      </c>
    </row>
    <row r="24" customFormat="false" ht="15" hidden="false" customHeight="false" outlineLevel="0" collapsed="false">
      <c r="A24" s="9" t="n">
        <v>20</v>
      </c>
      <c r="B24" s="5" t="s">
        <v>284</v>
      </c>
      <c r="C24" s="9" t="s">
        <v>45</v>
      </c>
      <c r="D24" s="9" t="n">
        <v>4</v>
      </c>
      <c r="E24" s="9" t="n">
        <v>3</v>
      </c>
      <c r="F24" s="9" t="n">
        <v>3</v>
      </c>
      <c r="G24" s="9" t="n">
        <f aca="false">ROUND((D24*E24)/F24,2)</f>
        <v>4</v>
      </c>
    </row>
    <row r="25" customFormat="false" ht="15" hidden="false" customHeight="false" outlineLevel="0" collapsed="false">
      <c r="A25" s="9" t="n">
        <v>21</v>
      </c>
      <c r="B25" s="5" t="s">
        <v>285</v>
      </c>
      <c r="C25" s="9" t="s">
        <v>41</v>
      </c>
      <c r="D25" s="9" t="n">
        <v>3</v>
      </c>
      <c r="E25" s="9" t="n">
        <v>2</v>
      </c>
      <c r="F25" s="9" t="n">
        <v>2</v>
      </c>
      <c r="G25" s="9" t="n">
        <f aca="false">ROUND((D25*E25)/F25,2)</f>
        <v>3</v>
      </c>
    </row>
    <row r="26" customFormat="false" ht="15" hidden="false" customHeight="false" outlineLevel="0" collapsed="false">
      <c r="A26" s="9" t="n">
        <v>22</v>
      </c>
      <c r="B26" s="5" t="s">
        <v>286</v>
      </c>
      <c r="C26" s="9" t="s">
        <v>40</v>
      </c>
      <c r="D26" s="9" t="n">
        <v>4</v>
      </c>
      <c r="E26" s="9" t="n">
        <v>4</v>
      </c>
      <c r="F26" s="9" t="n">
        <v>3</v>
      </c>
      <c r="G26" s="9" t="n">
        <f aca="false">ROUND((D26*E26)/F26,2)</f>
        <v>5.33</v>
      </c>
    </row>
    <row r="27" customFormat="false" ht="15" hidden="false" customHeight="false" outlineLevel="0" collapsed="false">
      <c r="A27" s="9" t="n">
        <v>23</v>
      </c>
      <c r="B27" s="5" t="s">
        <v>287</v>
      </c>
      <c r="C27" s="9" t="s">
        <v>40</v>
      </c>
      <c r="D27" s="9" t="n">
        <v>3</v>
      </c>
      <c r="E27" s="9" t="n">
        <v>2</v>
      </c>
      <c r="F27" s="9" t="n">
        <v>2</v>
      </c>
      <c r="G27" s="9" t="n">
        <f aca="false">ROUND((D27*E27)/F27,2)</f>
        <v>3</v>
      </c>
    </row>
    <row r="28" customFormat="false" ht="15" hidden="false" customHeight="false" outlineLevel="0" collapsed="false">
      <c r="A28" s="9" t="n">
        <v>24</v>
      </c>
      <c r="B28" s="5" t="s">
        <v>288</v>
      </c>
      <c r="C28" s="9" t="s">
        <v>40</v>
      </c>
      <c r="D28" s="9" t="n">
        <v>4</v>
      </c>
      <c r="E28" s="9" t="n">
        <v>4</v>
      </c>
      <c r="F28" s="9" t="n">
        <v>3</v>
      </c>
      <c r="G28" s="9" t="n">
        <f aca="false">ROUND((D28*E28)/F28,2)</f>
        <v>5.33</v>
      </c>
    </row>
    <row r="29" customFormat="false" ht="15" hidden="false" customHeight="false" outlineLevel="0" collapsed="false">
      <c r="A29" s="9" t="n">
        <v>25</v>
      </c>
      <c r="B29" s="5" t="s">
        <v>289</v>
      </c>
      <c r="C29" s="9" t="s">
        <v>39</v>
      </c>
      <c r="D29" s="9" t="n">
        <v>4</v>
      </c>
      <c r="E29" s="9" t="n">
        <v>3</v>
      </c>
      <c r="F29" s="9" t="n">
        <v>3</v>
      </c>
      <c r="G29" s="9" t="n">
        <f aca="false">ROUND((D29*E29)/F29,2)</f>
        <v>4</v>
      </c>
    </row>
    <row r="30" customFormat="false" ht="15" hidden="false" customHeight="false" outlineLevel="0" collapsed="false">
      <c r="A30" s="9" t="n">
        <v>26</v>
      </c>
      <c r="B30" s="5" t="s">
        <v>290</v>
      </c>
      <c r="C30" s="9" t="s">
        <v>43</v>
      </c>
      <c r="D30" s="9" t="n">
        <v>3</v>
      </c>
      <c r="E30" s="9" t="n">
        <v>2</v>
      </c>
      <c r="F30" s="9" t="n">
        <v>3</v>
      </c>
      <c r="G30" s="9" t="n">
        <f aca="false">ROUND((D30*E30)/F30,2)</f>
        <v>2</v>
      </c>
    </row>
    <row r="31" customFormat="false" ht="15" hidden="false" customHeight="false" outlineLevel="0" collapsed="false">
      <c r="A31" s="9" t="n">
        <v>27</v>
      </c>
      <c r="B31" s="5" t="s">
        <v>291</v>
      </c>
      <c r="C31" s="9" t="s">
        <v>45</v>
      </c>
      <c r="D31" s="9" t="n">
        <v>3</v>
      </c>
      <c r="E31" s="9" t="n">
        <v>2</v>
      </c>
      <c r="F31" s="9" t="n">
        <v>3</v>
      </c>
      <c r="G31" s="9" t="n">
        <f aca="false">ROUND((D31*E31)/F31,2)</f>
        <v>2</v>
      </c>
    </row>
    <row r="32" customFormat="false" ht="15" hidden="false" customHeight="false" outlineLevel="0" collapsed="false">
      <c r="A32" s="9" t="n">
        <v>28</v>
      </c>
      <c r="B32" s="5" t="s">
        <v>292</v>
      </c>
      <c r="C32" s="15" t="s">
        <v>42</v>
      </c>
      <c r="D32" s="9" t="n">
        <v>5</v>
      </c>
      <c r="E32" s="9" t="n">
        <v>5</v>
      </c>
      <c r="F32" s="9" t="n">
        <v>3</v>
      </c>
      <c r="G32" s="9" t="n">
        <f aca="false">ROUND((D32*E32)/F32,2)</f>
        <v>8.33</v>
      </c>
    </row>
    <row r="33" customFormat="false" ht="15" hidden="false" customHeight="false" outlineLevel="0" collapsed="false">
      <c r="A33" s="9" t="n">
        <v>29</v>
      </c>
      <c r="B33" s="5" t="s">
        <v>293</v>
      </c>
      <c r="C33" s="9" t="s">
        <v>45</v>
      </c>
      <c r="D33" s="9" t="n">
        <v>5</v>
      </c>
      <c r="E33" s="9" t="n">
        <v>4</v>
      </c>
      <c r="F33" s="9" t="n">
        <v>1</v>
      </c>
      <c r="G33" s="9" t="n">
        <f aca="false">ROUND((D33*E33)/F33,2)</f>
        <v>20</v>
      </c>
    </row>
    <row r="35" customFormat="false" ht="15" hidden="false" customHeight="false" outlineLevel="0" collapsed="false">
      <c r="A35" s="16" t="s">
        <v>294</v>
      </c>
      <c r="B35" s="16"/>
      <c r="C35" s="16"/>
      <c r="D35" s="16"/>
      <c r="E35" s="16"/>
      <c r="F35" s="16"/>
      <c r="G35" s="16"/>
    </row>
  </sheetData>
  <mergeCells count="3">
    <mergeCell ref="A1:G1"/>
    <mergeCell ref="A2:G2"/>
    <mergeCell ref="A35:G35"/>
  </mergeCells>
  <conditionalFormatting sqref="G5:G33">
    <cfRule type="colorScale" priority="2">
      <colorScale>
        <cfvo type="min" val="0"/>
        <cfvo type="percentile" val="50"/>
        <cfvo type="max" val="0"/>
        <color rgb="FFFCA5A5"/>
        <color rgb="FFFEF3C7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6" min="5" style="0" width="38"/>
  </cols>
  <sheetData>
    <row r="1" customFormat="false" ht="22.05" hidden="false" customHeight="false" outlineLevel="0" collapsed="false">
      <c r="A1" s="1" t="s">
        <v>295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296</v>
      </c>
      <c r="B2" s="2"/>
      <c r="C2" s="2"/>
      <c r="D2" s="2"/>
      <c r="E2" s="2"/>
      <c r="F2" s="2"/>
    </row>
    <row r="4" customFormat="false" ht="39.55" hidden="false" customHeight="false" outlineLevel="0" collapsed="false">
      <c r="A4" s="7" t="s">
        <v>260</v>
      </c>
      <c r="B4" s="7" t="s">
        <v>297</v>
      </c>
      <c r="C4" s="7" t="s">
        <v>298</v>
      </c>
      <c r="D4" s="7" t="s">
        <v>299</v>
      </c>
      <c r="E4" s="7" t="s">
        <v>300</v>
      </c>
      <c r="F4" s="7" t="s">
        <v>301</v>
      </c>
    </row>
    <row r="5" customFormat="false" ht="35.05" hidden="false" customHeight="false" outlineLevel="0" collapsed="false">
      <c r="A5" s="17" t="n">
        <v>1</v>
      </c>
      <c r="B5" s="17" t="s">
        <v>302</v>
      </c>
      <c r="C5" s="17" t="s">
        <v>303</v>
      </c>
      <c r="D5" s="10" t="n">
        <v>5</v>
      </c>
      <c r="E5" s="17" t="s">
        <v>304</v>
      </c>
      <c r="F5" s="17" t="s">
        <v>305</v>
      </c>
    </row>
    <row r="6" customFormat="false" ht="35.05" hidden="false" customHeight="false" outlineLevel="0" collapsed="false">
      <c r="A6" s="5" t="n">
        <v>2</v>
      </c>
      <c r="B6" s="5" t="s">
        <v>306</v>
      </c>
      <c r="C6" s="5" t="s">
        <v>307</v>
      </c>
      <c r="D6" s="9" t="n">
        <v>4</v>
      </c>
      <c r="E6" s="5" t="s">
        <v>308</v>
      </c>
      <c r="F6" s="5" t="s">
        <v>309</v>
      </c>
    </row>
    <row r="7" customFormat="false" ht="23.85" hidden="false" customHeight="false" outlineLevel="0" collapsed="false">
      <c r="A7" s="5" t="n">
        <v>3</v>
      </c>
      <c r="B7" s="5" t="s">
        <v>310</v>
      </c>
      <c r="C7" s="5" t="s">
        <v>311</v>
      </c>
      <c r="D7" s="9" t="n">
        <v>4</v>
      </c>
      <c r="E7" s="5" t="s">
        <v>312</v>
      </c>
      <c r="F7" s="5" t="s">
        <v>313</v>
      </c>
    </row>
    <row r="8" customFormat="false" ht="23.85" hidden="false" customHeight="false" outlineLevel="0" collapsed="false">
      <c r="A8" s="5" t="n">
        <v>4</v>
      </c>
      <c r="B8" s="5" t="s">
        <v>314</v>
      </c>
      <c r="C8" s="5" t="s">
        <v>315</v>
      </c>
      <c r="D8" s="9" t="n">
        <v>4</v>
      </c>
      <c r="E8" s="5" t="s">
        <v>316</v>
      </c>
      <c r="F8" s="5" t="s">
        <v>313</v>
      </c>
    </row>
    <row r="9" customFormat="false" ht="23.85" hidden="false" customHeight="false" outlineLevel="0" collapsed="false">
      <c r="A9" s="17" t="n">
        <v>5</v>
      </c>
      <c r="B9" s="17" t="s">
        <v>317</v>
      </c>
      <c r="C9" s="17" t="s">
        <v>318</v>
      </c>
      <c r="D9" s="10" t="n">
        <v>5</v>
      </c>
      <c r="E9" s="17" t="s">
        <v>319</v>
      </c>
      <c r="F9" s="17" t="s">
        <v>320</v>
      </c>
    </row>
    <row r="10" customFormat="false" ht="35.05" hidden="false" customHeight="false" outlineLevel="0" collapsed="false">
      <c r="A10" s="5" t="n">
        <v>6</v>
      </c>
      <c r="B10" s="5" t="s">
        <v>321</v>
      </c>
      <c r="C10" s="5" t="s">
        <v>322</v>
      </c>
      <c r="D10" s="9" t="n">
        <v>3</v>
      </c>
      <c r="E10" s="5" t="s">
        <v>323</v>
      </c>
      <c r="F10" s="5" t="s">
        <v>324</v>
      </c>
    </row>
    <row r="11" customFormat="false" ht="23.85" hidden="false" customHeight="false" outlineLevel="0" collapsed="false">
      <c r="A11" s="5" t="n">
        <v>7</v>
      </c>
      <c r="B11" s="5" t="s">
        <v>325</v>
      </c>
      <c r="C11" s="5" t="s">
        <v>326</v>
      </c>
      <c r="D11" s="9" t="n">
        <v>0</v>
      </c>
      <c r="E11" s="5" t="s">
        <v>327</v>
      </c>
      <c r="F11" s="5" t="s">
        <v>328</v>
      </c>
    </row>
    <row r="12" customFormat="false" ht="23.85" hidden="false" customHeight="false" outlineLevel="0" collapsed="false">
      <c r="A12" s="5" t="n">
        <v>8</v>
      </c>
      <c r="B12" s="5" t="s">
        <v>329</v>
      </c>
      <c r="C12" s="5" t="s">
        <v>330</v>
      </c>
      <c r="D12" s="9" t="n">
        <v>3</v>
      </c>
      <c r="E12" s="5" t="s">
        <v>331</v>
      </c>
      <c r="F12" s="5" t="s">
        <v>332</v>
      </c>
    </row>
    <row r="13" customFormat="false" ht="23.85" hidden="false" customHeight="false" outlineLevel="0" collapsed="false">
      <c r="A13" s="17" t="n">
        <v>9</v>
      </c>
      <c r="B13" s="17" t="s">
        <v>333</v>
      </c>
      <c r="C13" s="17" t="s">
        <v>334</v>
      </c>
      <c r="D13" s="10" t="n">
        <v>5</v>
      </c>
      <c r="E13" s="17" t="s">
        <v>335</v>
      </c>
      <c r="F13" s="17" t="s">
        <v>336</v>
      </c>
    </row>
    <row r="14" customFormat="false" ht="23.85" hidden="false" customHeight="false" outlineLevel="0" collapsed="false">
      <c r="A14" s="17" t="n">
        <v>10</v>
      </c>
      <c r="B14" s="17" t="s">
        <v>337</v>
      </c>
      <c r="C14" s="17" t="s">
        <v>338</v>
      </c>
      <c r="D14" s="10" t="n">
        <v>5</v>
      </c>
      <c r="E14" s="17" t="s">
        <v>339</v>
      </c>
      <c r="F14" s="17" t="s">
        <v>340</v>
      </c>
    </row>
    <row r="15" customFormat="false" ht="15" hidden="false" customHeight="false" outlineLevel="0" collapsed="false">
      <c r="A15" s="5" t="n">
        <v>11</v>
      </c>
      <c r="B15" s="5" t="s">
        <v>341</v>
      </c>
      <c r="C15" s="5" t="s">
        <v>342</v>
      </c>
      <c r="D15" s="9" t="n">
        <v>2</v>
      </c>
      <c r="E15" s="5" t="s">
        <v>343</v>
      </c>
      <c r="F15" s="5" t="s">
        <v>344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5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22.05" hidden="false" customHeight="false" outlineLevel="0" collapsed="false">
      <c r="A1" s="1" t="s">
        <v>345</v>
      </c>
      <c r="B1" s="1"/>
      <c r="C1" s="1"/>
      <c r="D1" s="1"/>
      <c r="E1" s="1"/>
    </row>
    <row r="3" customFormat="false" ht="15" hidden="false" customHeight="false" outlineLevel="0" collapsed="false">
      <c r="A3" s="7" t="s">
        <v>260</v>
      </c>
      <c r="B3" s="7" t="s">
        <v>346</v>
      </c>
      <c r="C3" s="7" t="s">
        <v>347</v>
      </c>
      <c r="D3" s="7" t="s">
        <v>348</v>
      </c>
      <c r="E3" s="7" t="s">
        <v>349</v>
      </c>
    </row>
    <row r="4" customFormat="false" ht="35.05" hidden="false" customHeight="false" outlineLevel="0" collapsed="false">
      <c r="A4" s="9" t="n">
        <v>1</v>
      </c>
      <c r="B4" s="5" t="s">
        <v>350</v>
      </c>
      <c r="C4" s="9" t="s">
        <v>59</v>
      </c>
      <c r="D4" s="18" t="s">
        <v>60</v>
      </c>
      <c r="E4" s="5" t="s">
        <v>351</v>
      </c>
    </row>
    <row r="5" customFormat="false" ht="23.85" hidden="false" customHeight="false" outlineLevel="0" collapsed="false">
      <c r="A5" s="9" t="n">
        <v>2</v>
      </c>
      <c r="B5" s="5" t="s">
        <v>352</v>
      </c>
      <c r="C5" s="9" t="s">
        <v>68</v>
      </c>
      <c r="D5" s="18" t="s">
        <v>60</v>
      </c>
      <c r="E5" s="5" t="s">
        <v>353</v>
      </c>
    </row>
    <row r="6" customFormat="false" ht="23.85" hidden="false" customHeight="false" outlineLevel="0" collapsed="false">
      <c r="A6" s="9" t="n">
        <v>3</v>
      </c>
      <c r="B6" s="5" t="s">
        <v>354</v>
      </c>
      <c r="C6" s="9" t="s">
        <v>68</v>
      </c>
      <c r="D6" s="10" t="s">
        <v>63</v>
      </c>
      <c r="E6" s="5" t="s">
        <v>355</v>
      </c>
    </row>
    <row r="7" customFormat="false" ht="23.85" hidden="false" customHeight="false" outlineLevel="0" collapsed="false">
      <c r="A7" s="9" t="n">
        <v>4</v>
      </c>
      <c r="B7" s="5" t="s">
        <v>356</v>
      </c>
      <c r="C7" s="9" t="s">
        <v>357</v>
      </c>
      <c r="D7" s="9" t="s">
        <v>358</v>
      </c>
      <c r="E7" s="5" t="s">
        <v>359</v>
      </c>
    </row>
    <row r="8" customFormat="false" ht="23.85" hidden="false" customHeight="false" outlineLevel="0" collapsed="false">
      <c r="A8" s="9" t="n">
        <v>5</v>
      </c>
      <c r="B8" s="5" t="s">
        <v>360</v>
      </c>
      <c r="C8" s="9" t="s">
        <v>68</v>
      </c>
      <c r="D8" s="10" t="s">
        <v>63</v>
      </c>
      <c r="E8" s="5" t="s">
        <v>361</v>
      </c>
    </row>
    <row r="9" customFormat="false" ht="23.85" hidden="false" customHeight="false" outlineLevel="0" collapsed="false">
      <c r="A9" s="9" t="n">
        <v>6</v>
      </c>
      <c r="B9" s="5" t="s">
        <v>362</v>
      </c>
      <c r="C9" s="9" t="s">
        <v>363</v>
      </c>
      <c r="D9" s="18" t="s">
        <v>60</v>
      </c>
      <c r="E9" s="5" t="s">
        <v>364</v>
      </c>
    </row>
    <row r="10" customFormat="false" ht="35.05" hidden="false" customHeight="false" outlineLevel="0" collapsed="false">
      <c r="A10" s="9" t="n">
        <v>7</v>
      </c>
      <c r="B10" s="5" t="s">
        <v>365</v>
      </c>
      <c r="C10" s="9" t="s">
        <v>366</v>
      </c>
      <c r="D10" s="18" t="s">
        <v>60</v>
      </c>
      <c r="E10" s="5" t="s">
        <v>367</v>
      </c>
    </row>
    <row r="11" customFormat="false" ht="23.85" hidden="false" customHeight="false" outlineLevel="0" collapsed="false">
      <c r="A11" s="9" t="n">
        <v>8</v>
      </c>
      <c r="B11" s="5" t="s">
        <v>368</v>
      </c>
      <c r="C11" s="9" t="s">
        <v>73</v>
      </c>
      <c r="D11" s="10" t="s">
        <v>63</v>
      </c>
      <c r="E11" s="5" t="s">
        <v>369</v>
      </c>
    </row>
    <row r="12" customFormat="false" ht="23.85" hidden="false" customHeight="false" outlineLevel="0" collapsed="false">
      <c r="A12" s="9" t="n">
        <v>9</v>
      </c>
      <c r="B12" s="5" t="s">
        <v>370</v>
      </c>
      <c r="C12" s="9" t="s">
        <v>68</v>
      </c>
      <c r="D12" s="10" t="s">
        <v>63</v>
      </c>
      <c r="E12" s="5" t="s">
        <v>371</v>
      </c>
    </row>
    <row r="13" customFormat="false" ht="23.85" hidden="false" customHeight="false" outlineLevel="0" collapsed="false">
      <c r="A13" s="9" t="n">
        <v>10</v>
      </c>
      <c r="B13" s="5" t="s">
        <v>372</v>
      </c>
      <c r="C13" s="9" t="s">
        <v>366</v>
      </c>
      <c r="D13" s="19" t="s">
        <v>373</v>
      </c>
      <c r="E13" s="5" t="s">
        <v>374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2026-04-25T12:52:58Z</dcterms:created>
  <dc:creator>openpyxl</dc:creator>
  <dc:description/>
  <dc:language>en-US</dc:language>
  <cp:lastModifiedBy/>
  <dcterms:modified xsi:type="dcterms:W3CDTF">2026-04-25T12:52:58Z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